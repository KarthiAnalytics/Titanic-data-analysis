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hidePivotFieldList="1" defaultThemeVersion="166925"/>
  <mc:AlternateContent xmlns:mc="http://schemas.openxmlformats.org/markup-compatibility/2006">
    <mc:Choice Requires="x15">
      <x15ac:absPath xmlns:x15ac="http://schemas.microsoft.com/office/spreadsheetml/2010/11/ac" url="E:\Data_Analysis_Portfolio\"/>
    </mc:Choice>
  </mc:AlternateContent>
  <xr:revisionPtr revIDLastSave="0" documentId="13_ncr:1_{4023D065-508C-485F-A303-F19960F829A4}" xr6:coauthVersionLast="36" xr6:coauthVersionMax="36" xr10:uidLastSave="{00000000-0000-0000-0000-000000000000}"/>
  <bookViews>
    <workbookView xWindow="0" yWindow="0" windowWidth="20490" windowHeight="7545" xr2:uid="{11444CDC-52C8-477F-B784-ED35DCB23DBE}"/>
  </bookViews>
  <sheets>
    <sheet name="Dashboard" sheetId="5" r:id="rId1"/>
    <sheet name="Raw_Data" sheetId="1" r:id="rId2"/>
    <sheet name="Processed_Data" sheetId="2" r:id="rId3"/>
    <sheet name="Calculations" sheetId="4" r:id="rId4"/>
    <sheet name="KPI_Mapping" sheetId="7" r:id="rId5"/>
  </sheets>
  <definedNames>
    <definedName name="Slicer_Embarked1">#N/A</definedName>
    <definedName name="Slicer_Pclass1">#N/A</definedName>
    <definedName name="Slicer_Sex1">#N/A</definedName>
    <definedName name="Slicer_Survival_Status">#N/A</definedName>
  </definedNames>
  <calcPr calcId="191029"/>
  <pivotCaches>
    <pivotCache cacheId="1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 i="2" l="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D4" i="5"/>
  <c r="K2" i="2" l="1"/>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Q4" i="5"/>
  <c r="L4" i="5"/>
  <c r="H4" i="5"/>
</calcChain>
</file>

<file path=xl/sharedStrings.xml><?xml version="1.0" encoding="utf-8"?>
<sst xmlns="http://schemas.openxmlformats.org/spreadsheetml/2006/main" count="476" uniqueCount="126">
  <si>
    <t>Survived</t>
  </si>
  <si>
    <t>Pclass</t>
  </si>
  <si>
    <t>Title</t>
  </si>
  <si>
    <t>Sex</t>
  </si>
  <si>
    <t>Age</t>
  </si>
  <si>
    <t>SibSp</t>
  </si>
  <si>
    <t>Parch</t>
  </si>
  <si>
    <t>Ticket</t>
  </si>
  <si>
    <t>Fare</t>
  </si>
  <si>
    <t>Embarked</t>
  </si>
  <si>
    <t>Mr</t>
  </si>
  <si>
    <t>Owen</t>
  </si>
  <si>
    <t>Harris</t>
  </si>
  <si>
    <t>Braund</t>
  </si>
  <si>
    <t>Male</t>
  </si>
  <si>
    <t>S</t>
  </si>
  <si>
    <t>Mrs</t>
  </si>
  <si>
    <t>John</t>
  </si>
  <si>
    <t>Cumings</t>
  </si>
  <si>
    <t>Female</t>
  </si>
  <si>
    <t>C</t>
  </si>
  <si>
    <t>Miss</t>
  </si>
  <si>
    <t>Laina</t>
  </si>
  <si>
    <t>Heikkinen</t>
  </si>
  <si>
    <t>Jacques</t>
  </si>
  <si>
    <t>Futrelle</t>
  </si>
  <si>
    <t>William</t>
  </si>
  <si>
    <t>Henry</t>
  </si>
  <si>
    <t>Allen</t>
  </si>
  <si>
    <t>James</t>
  </si>
  <si>
    <t>Moran</t>
  </si>
  <si>
    <t>Q</t>
  </si>
  <si>
    <t>Timothy</t>
  </si>
  <si>
    <t>J</t>
  </si>
  <si>
    <t>McCarthy</t>
  </si>
  <si>
    <t>Master</t>
  </si>
  <si>
    <t>Gosta</t>
  </si>
  <si>
    <t>Leonard</t>
  </si>
  <si>
    <t>Palsson</t>
  </si>
  <si>
    <t>Oscar</t>
  </si>
  <si>
    <t>Johnson</t>
  </si>
  <si>
    <t>Nicholas</t>
  </si>
  <si>
    <t>Nasser</t>
  </si>
  <si>
    <t>Marguerite</t>
  </si>
  <si>
    <t>Rut</t>
  </si>
  <si>
    <t>Sandstrom</t>
  </si>
  <si>
    <t>Elizabeth</t>
  </si>
  <si>
    <t>Bonnell</t>
  </si>
  <si>
    <t>Saundercock</t>
  </si>
  <si>
    <t>Anders</t>
  </si>
  <si>
    <t>Johan</t>
  </si>
  <si>
    <t>Andersson</t>
  </si>
  <si>
    <t>Anna</t>
  </si>
  <si>
    <t>McGowan</t>
  </si>
  <si>
    <t>Hewlett</t>
  </si>
  <si>
    <t>Eugene</t>
  </si>
  <si>
    <t>Rice</t>
  </si>
  <si>
    <t>Charles</t>
  </si>
  <si>
    <t>Williams</t>
  </si>
  <si>
    <t>Julius</t>
  </si>
  <si>
    <t>Vander Planke</t>
  </si>
  <si>
    <t>Fatima</t>
  </si>
  <si>
    <t>Masselmani</t>
  </si>
  <si>
    <t>Joseph</t>
  </si>
  <si>
    <t>Fynney</t>
  </si>
  <si>
    <t>Lawrence</t>
  </si>
  <si>
    <t>Beesley</t>
  </si>
  <si>
    <t>Thompson</t>
  </si>
  <si>
    <t>Sloper</t>
  </si>
  <si>
    <t>Torborg</t>
  </si>
  <si>
    <t>Danira</t>
  </si>
  <si>
    <t>Carl</t>
  </si>
  <si>
    <t>Asplund</t>
  </si>
  <si>
    <t>Farred</t>
  </si>
  <si>
    <t>Chehab</t>
  </si>
  <si>
    <t>Emir</t>
  </si>
  <si>
    <t>Alexander</t>
  </si>
  <si>
    <t>Fortune</t>
  </si>
  <si>
    <t>Ellen</t>
  </si>
  <si>
    <t>O'Dwyer</t>
  </si>
  <si>
    <t>Lalio</t>
  </si>
  <si>
    <t>Todoroff</t>
  </si>
  <si>
    <t>Don</t>
  </si>
  <si>
    <t>Manuel</t>
  </si>
  <si>
    <t>E</t>
  </si>
  <si>
    <t>Uruchurtu</t>
  </si>
  <si>
    <t>Spencer</t>
  </si>
  <si>
    <t>First Name</t>
  </si>
  <si>
    <t>Middle Name</t>
  </si>
  <si>
    <t>Annie</t>
  </si>
  <si>
    <t>Last Name</t>
  </si>
  <si>
    <t>Family Size</t>
  </si>
  <si>
    <t>Bradley Florence Briggs Thayer</t>
  </si>
  <si>
    <t>W Elisabeth Vilhelmina Berg</t>
  </si>
  <si>
    <t>Adele Achem</t>
  </si>
  <si>
    <t>Heath Lily May Peel</t>
  </si>
  <si>
    <t>D Kingcome</t>
  </si>
  <si>
    <t>Mary</t>
  </si>
  <si>
    <t>Emelia Maria Vandemoortele</t>
  </si>
  <si>
    <t>Oscar Selma Augusta Emilia Johansson</t>
  </si>
  <si>
    <t>Nellie</t>
  </si>
  <si>
    <t>Augustus Marie Eugenie</t>
  </si>
  <si>
    <t>Passenger Id</t>
  </si>
  <si>
    <t>Is Alone</t>
  </si>
  <si>
    <t>Row Labels</t>
  </si>
  <si>
    <t>Grand Total</t>
  </si>
  <si>
    <t>Count of Passenger Id</t>
  </si>
  <si>
    <t>Survival Status</t>
  </si>
  <si>
    <t>Column Labels</t>
  </si>
  <si>
    <t>Overall Survival</t>
  </si>
  <si>
    <t>Average of Survived</t>
  </si>
  <si>
    <t>Age Group</t>
  </si>
  <si>
    <t>Adult</t>
  </si>
  <si>
    <t>Fare Group</t>
  </si>
  <si>
    <t>High Fare</t>
  </si>
  <si>
    <t>Low Fare</t>
  </si>
  <si>
    <t>Medium Fare</t>
  </si>
  <si>
    <t>Titanic Analysis Report</t>
  </si>
  <si>
    <t>Total Passengers</t>
  </si>
  <si>
    <t>Female Survival Rate</t>
  </si>
  <si>
    <t>Survival Rate</t>
  </si>
  <si>
    <t>Male Survival Rate</t>
  </si>
  <si>
    <t>(All)</t>
  </si>
  <si>
    <t>Not Survived</t>
  </si>
  <si>
    <t>With Family</t>
  </si>
  <si>
    <t>Alone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</si>
</sst>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rgb="FF000000"/>
      <name val="Calibri"/>
      <family val="2"/>
      <scheme val="minor"/>
    </font>
    <font>
      <b/>
      <sz val="11"/>
      <name val="Calibri"/>
      <family val="2"/>
      <scheme val="minor"/>
    </font>
    <font>
      <b/>
      <sz val="36"/>
      <color theme="1"/>
      <name val="Calibri"/>
      <family val="2"/>
      <scheme val="minor"/>
    </font>
    <font>
      <sz val="36"/>
      <color theme="0"/>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4"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4">
    <xf numFmtId="0" fontId="0" fillId="0" borderId="0" xfId="0"/>
    <xf numFmtId="0" fontId="1" fillId="0" borderId="1" xfId="0" applyFont="1" applyBorder="1" applyAlignment="1">
      <alignment wrapText="1"/>
    </xf>
    <xf numFmtId="0" fontId="1" fillId="0" borderId="1" xfId="0" applyFont="1" applyBorder="1" applyAlignment="1">
      <alignment horizontal="center" wrapText="1"/>
    </xf>
    <xf numFmtId="0" fontId="2" fillId="2" borderId="1" xfId="0" applyFont="1" applyFill="1" applyBorder="1" applyAlignment="1">
      <alignment horizontal="center" vertical="top" wrapText="1"/>
    </xf>
    <xf numFmtId="0" fontId="0" fillId="0" borderId="0" xfId="0" applyFont="1" applyAlignment="1">
      <alignment wrapText="1"/>
    </xf>
    <xf numFmtId="0" fontId="0" fillId="0" borderId="0" xfId="0" applyFont="1" applyAlignment="1">
      <alignment horizont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2" fillId="2" borderId="4" xfId="0" applyFont="1" applyFill="1" applyBorder="1" applyAlignment="1">
      <alignment horizontal="center" vertical="top" wrapText="1"/>
    </xf>
    <xf numFmtId="0" fontId="2" fillId="2" borderId="5" xfId="0" applyFont="1" applyFill="1" applyBorder="1" applyAlignment="1">
      <alignment horizontal="center" vertical="top" wrapText="1"/>
    </xf>
    <xf numFmtId="0" fontId="2" fillId="2" borderId="6" xfId="0" applyFont="1" applyFill="1" applyBorder="1" applyAlignment="1">
      <alignment horizontal="center" vertical="top" wrapText="1"/>
    </xf>
    <xf numFmtId="0" fontId="1" fillId="0" borderId="7" xfId="0" applyFont="1" applyBorder="1" applyAlignment="1">
      <alignment horizontal="center" wrapText="1"/>
    </xf>
    <xf numFmtId="0" fontId="1" fillId="0" borderId="8" xfId="0" applyFont="1" applyBorder="1" applyAlignment="1">
      <alignment horizontal="center" wrapText="1"/>
    </xf>
    <xf numFmtId="0" fontId="1" fillId="0" borderId="8" xfId="0" applyFont="1" applyBorder="1" applyAlignment="1">
      <alignment wrapText="1"/>
    </xf>
    <xf numFmtId="0" fontId="1" fillId="0" borderId="9" xfId="0" applyFont="1" applyBorder="1" applyAlignment="1">
      <alignment horizontal="center" wrapText="1"/>
    </xf>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0" fontId="0" fillId="0" borderId="0" xfId="0" applyAlignment="1"/>
    <xf numFmtId="0" fontId="0" fillId="3" borderId="0" xfId="0" applyFill="1"/>
    <xf numFmtId="0" fontId="3" fillId="2" borderId="0" xfId="0" applyFont="1" applyFill="1" applyAlignment="1">
      <alignment horizontal="center"/>
    </xf>
    <xf numFmtId="0" fontId="4" fillId="3" borderId="0" xfId="0" applyFont="1" applyFill="1" applyBorder="1" applyAlignment="1">
      <alignment horizontal="center"/>
    </xf>
    <xf numFmtId="9" fontId="4" fillId="3" borderId="0" xfId="0" applyNumberFormat="1" applyFont="1" applyFill="1" applyBorder="1" applyAlignment="1">
      <alignment horizontal="center"/>
    </xf>
  </cellXfs>
  <cellStyles count="1">
    <cellStyle name="Normal" xfId="0" builtinId="0"/>
  </cellStyles>
  <dxfs count="38">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b val="0"/>
        <i val="0"/>
        <strike val="0"/>
        <condense val="0"/>
        <extend val="0"/>
        <outline val="0"/>
        <shadow val="0"/>
        <u val="none"/>
        <vertAlign val="baseline"/>
        <sz val="11"/>
        <color rgb="FF000000"/>
        <name val="Calibri"/>
        <family val="2"/>
        <scheme val="minor"/>
      </font>
      <alignment horizontal="center"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0" formatCode="General"/>
      <alignment horizontal="center"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minor"/>
      </font>
      <numFmt numFmtId="0" formatCode="Genera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minor"/>
      </font>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minor"/>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0" formatCode="Genera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0" formatCode="Genera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center"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minor"/>
      </font>
      <alignment horizontal="center"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0" tint="-0.34998626667073579"/>
        </patternFill>
      </fill>
      <alignment horizontal="center" vertical="top" textRotation="0" wrapText="1" indent="0" justifyLastLine="0" shrinkToFit="0" readingOrder="0"/>
      <border diagonalUp="0" diagonalDown="0" outline="0">
        <left style="thin">
          <color indexed="64"/>
        </left>
        <right style="thin">
          <color indexed="64"/>
        </right>
        <top/>
        <bottom/>
      </border>
    </dxf>
    <dxf>
      <font>
        <b/>
        <i val="0"/>
        <color theme="0"/>
      </font>
      <border diagonalUp="0" diagonalDown="0">
        <left/>
        <right/>
        <top/>
        <bottom/>
        <vertical/>
        <horizontal/>
      </border>
    </dxf>
    <dxf>
      <font>
        <color theme="1"/>
      </font>
      <fill>
        <patternFill>
          <bgColor theme="4" tint="-0.499984740745262"/>
        </patternFill>
      </fill>
      <border diagonalUp="0" diagonalDown="0">
        <left/>
        <right/>
        <top/>
        <bottom/>
        <vertical/>
        <horizontal/>
      </border>
    </dxf>
  </dxfs>
  <tableStyles count="1" defaultTableStyle="TableStyleMedium2" defaultPivotStyle="PivotStyleLight16">
    <tableStyle name="SlicerStyleLight1 2" pivot="0" table="0" count="10" xr9:uid="{20BFA85B-11D4-444A-A4AF-EF4DF61A4A2F}">
      <tableStyleElement type="wholeTable" dxfId="37"/>
      <tableStyleElement type="headerRow" dxfId="3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7"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[Titanic_Cleaned.xlsx]Calculations!PivotTable2</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Overall Survival</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alpha val="71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spPr>
          <a:solidFill>
            <a:schemeClr val="accent1">
              <a:lumMod val="50000"/>
            </a:schemeClr>
          </a:solidFill>
          <a:ln w="9525" cap="flat" cmpd="sng" algn="ctr">
            <a:solidFill>
              <a:schemeClr val="tx1"/>
            </a:solidFill>
            <a:round/>
          </a:ln>
          <a:effectLst/>
        </c:spPr>
      </c:pivotFmt>
      <c:pivotFmt>
        <c:idx val="8"/>
        <c:spPr>
          <a:solidFill>
            <a:schemeClr val="accent4">
              <a:lumMod val="60000"/>
              <a:lumOff val="40000"/>
            </a:schemeClr>
          </a:solidFill>
          <a:ln w="9525" cap="flat" cmpd="sng" algn="ctr">
            <a:solidFill>
              <a:schemeClr val="accent1">
                <a:shade val="95000"/>
              </a:schemeClr>
            </a:solidFill>
            <a:round/>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alpha val="71000"/>
                      </a:schemeClr>
                    </a:solidFill>
                    <a:latin typeface="+mn-lt"/>
                    <a:ea typeface="+mn-ea"/>
                    <a:cs typeface="+mn-cs"/>
                  </a:defRPr>
                </a:pPr>
                <a:fld id="{A0827F2C-1976-4EF4-888F-A38AC3116347}" type="VALUE">
                  <a:rPr lang="en-US">
                    <a:ln>
                      <a:solidFill>
                        <a:schemeClr val="tx1"/>
                      </a:solidFill>
                    </a:ln>
                    <a:solidFill>
                      <a:schemeClr val="tx1">
                        <a:alpha val="71000"/>
                      </a:schemeClr>
                    </a:solidFill>
                  </a:rPr>
                  <a:pPr>
                    <a:defRPr>
                      <a:ln>
                        <a:solidFill>
                          <a:schemeClr val="bg1"/>
                        </a:solidFill>
                      </a:ln>
                      <a:solidFill>
                        <a:schemeClr val="bg1">
                          <a:alpha val="71000"/>
                        </a:schemeClr>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alpha val="71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9624962408559543"/>
          <c:y val="0.35434603263275161"/>
          <c:w val="0.34424376020545117"/>
          <c:h val="0.58011433193070094"/>
        </c:manualLayout>
      </c:layout>
      <c:doughnutChart>
        <c:varyColors val="1"/>
        <c:ser>
          <c:idx val="0"/>
          <c:order val="0"/>
          <c:tx>
            <c:strRef>
              <c:f>Calculations!$B$1</c:f>
              <c:strCache>
                <c:ptCount val="1"/>
                <c:pt idx="0">
                  <c:v>Total</c:v>
                </c:pt>
              </c:strCache>
            </c:strRef>
          </c:tx>
          <c:dPt>
            <c:idx val="0"/>
            <c:bubble3D val="0"/>
            <c:spPr>
              <a:solidFill>
                <a:schemeClr val="accent4">
                  <a:lumMod val="60000"/>
                  <a:lumOff val="40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1-F8D2-4878-AAB7-9FE55B9CB35B}"/>
              </c:ext>
            </c:extLst>
          </c:dPt>
          <c:dPt>
            <c:idx val="1"/>
            <c:bubble3D val="0"/>
            <c:spPr>
              <a:solidFill>
                <a:schemeClr val="accent1">
                  <a:lumMod val="50000"/>
                </a:schemeClr>
              </a:solidFill>
              <a:ln w="9525" cap="flat" cmpd="sng" algn="ctr">
                <a:solidFill>
                  <a:schemeClr val="tx1"/>
                </a:solidFill>
                <a:round/>
              </a:ln>
              <a:effectLst/>
            </c:spPr>
            <c:extLst>
              <c:ext xmlns:c16="http://schemas.microsoft.com/office/drawing/2014/chart" uri="{C3380CC4-5D6E-409C-BE32-E72D297353CC}">
                <c16:uniqueId val="{00000003-F8D2-4878-AAB7-9FE55B9CB35B}"/>
              </c:ext>
            </c:extLst>
          </c:dPt>
          <c:dLbls>
            <c:dLbl>
              <c:idx val="0"/>
              <c:tx>
                <c:rich>
                  <a:bodyPr/>
                  <a:lstStyle/>
                  <a:p>
                    <a:fld id="{A0827F2C-1976-4EF4-888F-A38AC3116347}" type="VALUE">
                      <a:rPr lang="en-US">
                        <a:ln>
                          <a:solidFill>
                            <a:schemeClr val="tx1"/>
                          </a:solidFill>
                        </a:ln>
                        <a:solidFill>
                          <a:schemeClr val="tx1">
                            <a:alpha val="71000"/>
                          </a:schemeClr>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8D2-4878-AAB7-9FE55B9CB3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alpha val="71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Calculations!$A$2:$A$4</c:f>
              <c:strCache>
                <c:ptCount val="2"/>
                <c:pt idx="0">
                  <c:v>Survived</c:v>
                </c:pt>
                <c:pt idx="1">
                  <c:v>Not Survived</c:v>
                </c:pt>
              </c:strCache>
            </c:strRef>
          </c:cat>
          <c:val>
            <c:numRef>
              <c:f>Calculations!$B$2:$B$4</c:f>
              <c:numCache>
                <c:formatCode>General</c:formatCode>
                <c:ptCount val="2"/>
                <c:pt idx="0">
                  <c:v>17</c:v>
                </c:pt>
                <c:pt idx="1">
                  <c:v>15</c:v>
                </c:pt>
              </c:numCache>
            </c:numRef>
          </c:val>
          <c:extLst>
            <c:ext xmlns:c16="http://schemas.microsoft.com/office/drawing/2014/chart" uri="{C3380CC4-5D6E-409C-BE32-E72D297353CC}">
              <c16:uniqueId val="{00000004-F8D2-4878-AAB7-9FE55B9CB35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[Titanic_Cleaned.xlsx]Calculations!PivotTable3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Survival Count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2"/>
            </a:solidFill>
            <a:ln w="9525">
              <a:solidFill>
                <a:schemeClr val="accent2"/>
              </a:solidFill>
            </a:ln>
            <a:effectLst/>
          </c:spPr>
        </c:marker>
      </c:pivotFmt>
      <c:pivotFmt>
        <c:idx val="7"/>
        <c:spPr>
          <a:solidFill>
            <a:schemeClr val="accent1">
              <a:lumMod val="50000"/>
            </a:schemeClr>
          </a:solidFill>
          <a:ln>
            <a:noFill/>
          </a:ln>
          <a:effectLst/>
        </c:spPr>
        <c:marker>
          <c:symbol val="none"/>
        </c:marker>
      </c:pivotFmt>
      <c:pivotFmt>
        <c:idx val="8"/>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Calculations!$B$12:$B$13</c:f>
              <c:strCache>
                <c:ptCount val="1"/>
                <c:pt idx="0">
                  <c:v>Not Survived</c:v>
                </c:pt>
              </c:strCache>
            </c:strRef>
          </c:tx>
          <c:spPr>
            <a:solidFill>
              <a:schemeClr val="accent1">
                <a:lumMod val="50000"/>
              </a:schemeClr>
            </a:solidFill>
            <a:ln>
              <a:noFill/>
            </a:ln>
            <a:effectLst/>
          </c:spPr>
          <c:invertIfNegative val="0"/>
          <c:dLbls>
            <c:delete val="1"/>
          </c:dLbls>
          <c:cat>
            <c:strRef>
              <c:f>Calculations!$A$14:$A$16</c:f>
              <c:strCache>
                <c:ptCount val="2"/>
                <c:pt idx="0">
                  <c:v>Female</c:v>
                </c:pt>
                <c:pt idx="1">
                  <c:v>Male</c:v>
                </c:pt>
              </c:strCache>
            </c:strRef>
          </c:cat>
          <c:val>
            <c:numRef>
              <c:f>Calculations!$B$14:$B$16</c:f>
              <c:numCache>
                <c:formatCode>General</c:formatCode>
                <c:ptCount val="2"/>
                <c:pt idx="0">
                  <c:v>2</c:v>
                </c:pt>
                <c:pt idx="1">
                  <c:v>13</c:v>
                </c:pt>
              </c:numCache>
            </c:numRef>
          </c:val>
          <c:extLst>
            <c:ext xmlns:c16="http://schemas.microsoft.com/office/drawing/2014/chart" uri="{C3380CC4-5D6E-409C-BE32-E72D297353CC}">
              <c16:uniqueId val="{00000000-3E1E-462E-B7E7-0F6D4EDB3790}"/>
            </c:ext>
          </c:extLst>
        </c:ser>
        <c:ser>
          <c:idx val="1"/>
          <c:order val="1"/>
          <c:tx>
            <c:strRef>
              <c:f>Calculations!$C$12:$C$13</c:f>
              <c:strCache>
                <c:ptCount val="1"/>
                <c:pt idx="0">
                  <c:v>Survived</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Calculations!$A$14:$A$16</c:f>
              <c:strCache>
                <c:ptCount val="2"/>
                <c:pt idx="0">
                  <c:v>Female</c:v>
                </c:pt>
                <c:pt idx="1">
                  <c:v>Male</c:v>
                </c:pt>
              </c:strCache>
            </c:strRef>
          </c:cat>
          <c:val>
            <c:numRef>
              <c:f>Calculations!$C$14:$C$16</c:f>
              <c:numCache>
                <c:formatCode>General</c:formatCode>
                <c:ptCount val="2"/>
                <c:pt idx="0">
                  <c:v>14</c:v>
                </c:pt>
                <c:pt idx="1">
                  <c:v>3</c:v>
                </c:pt>
              </c:numCache>
            </c:numRef>
          </c:val>
          <c:extLst>
            <c:ext xmlns:c16="http://schemas.microsoft.com/office/drawing/2014/chart" uri="{C3380CC4-5D6E-409C-BE32-E72D297353CC}">
              <c16:uniqueId val="{00000002-E673-4F9E-804B-688A953B2F64}"/>
            </c:ext>
          </c:extLst>
        </c:ser>
        <c:dLbls>
          <c:dLblPos val="ctr"/>
          <c:showLegendKey val="0"/>
          <c:showVal val="1"/>
          <c:showCatName val="0"/>
          <c:showSerName val="0"/>
          <c:showPercent val="0"/>
          <c:showBubbleSize val="0"/>
        </c:dLbls>
        <c:gapWidth val="150"/>
        <c:overlap val="100"/>
        <c:axId val="1681844784"/>
        <c:axId val="1457423472"/>
      </c:barChart>
      <c:catAx>
        <c:axId val="168184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423472"/>
        <c:crosses val="autoZero"/>
        <c:auto val="1"/>
        <c:lblAlgn val="ctr"/>
        <c:lblOffset val="100"/>
        <c:noMultiLvlLbl val="0"/>
      </c:catAx>
      <c:valAx>
        <c:axId val="14574234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84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[Titanic_Cleaned.xlsx]Calculations!PivotTable5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Survival by Passenger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marker>
          <c:symbol val="none"/>
        </c:marker>
      </c:pivotFmt>
    </c:pivotFmts>
    <c:plotArea>
      <c:layout/>
      <c:barChart>
        <c:barDir val="col"/>
        <c:grouping val="stacked"/>
        <c:varyColors val="0"/>
        <c:ser>
          <c:idx val="0"/>
          <c:order val="0"/>
          <c:tx>
            <c:strRef>
              <c:f>Calculations!$B$19:$B$20</c:f>
              <c:strCache>
                <c:ptCount val="1"/>
                <c:pt idx="0">
                  <c:v>Not Survived</c:v>
                </c:pt>
              </c:strCache>
            </c:strRef>
          </c:tx>
          <c:spPr>
            <a:solidFill>
              <a:schemeClr val="accent1">
                <a:lumMod val="50000"/>
              </a:schemeClr>
            </a:solidFill>
            <a:ln>
              <a:noFill/>
            </a:ln>
            <a:effectLst/>
          </c:spPr>
          <c:invertIfNegative val="0"/>
          <c:dLbls>
            <c:delete val="1"/>
          </c:dLbls>
          <c:cat>
            <c:strRef>
              <c:f>Calculations!$A$21:$A$24</c:f>
              <c:strCache>
                <c:ptCount val="3"/>
                <c:pt idx="0">
                  <c:v>1</c:v>
                </c:pt>
                <c:pt idx="1">
                  <c:v>2</c:v>
                </c:pt>
                <c:pt idx="2">
                  <c:v>3</c:v>
                </c:pt>
              </c:strCache>
            </c:strRef>
          </c:cat>
          <c:val>
            <c:numRef>
              <c:f>Calculations!$B$21:$B$24</c:f>
              <c:numCache>
                <c:formatCode>General</c:formatCode>
                <c:ptCount val="3"/>
                <c:pt idx="0">
                  <c:v>3</c:v>
                </c:pt>
                <c:pt idx="1">
                  <c:v>1</c:v>
                </c:pt>
                <c:pt idx="2">
                  <c:v>11</c:v>
                </c:pt>
              </c:numCache>
            </c:numRef>
          </c:val>
          <c:extLst>
            <c:ext xmlns:c16="http://schemas.microsoft.com/office/drawing/2014/chart" uri="{C3380CC4-5D6E-409C-BE32-E72D297353CC}">
              <c16:uniqueId val="{00000000-E56F-4EDF-947B-49D327561F1D}"/>
            </c:ext>
          </c:extLst>
        </c:ser>
        <c:ser>
          <c:idx val="1"/>
          <c:order val="1"/>
          <c:tx>
            <c:strRef>
              <c:f>Calculations!$C$19:$C$20</c:f>
              <c:strCache>
                <c:ptCount val="1"/>
                <c:pt idx="0">
                  <c:v>Survived</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Calculations!$A$21:$A$24</c:f>
              <c:strCache>
                <c:ptCount val="3"/>
                <c:pt idx="0">
                  <c:v>1</c:v>
                </c:pt>
                <c:pt idx="1">
                  <c:v>2</c:v>
                </c:pt>
                <c:pt idx="2">
                  <c:v>3</c:v>
                </c:pt>
              </c:strCache>
            </c:strRef>
          </c:cat>
          <c:val>
            <c:numRef>
              <c:f>Calculations!$C$21:$C$24</c:f>
              <c:numCache>
                <c:formatCode>General</c:formatCode>
                <c:ptCount val="3"/>
                <c:pt idx="0">
                  <c:v>5</c:v>
                </c:pt>
                <c:pt idx="1">
                  <c:v>4</c:v>
                </c:pt>
                <c:pt idx="2">
                  <c:v>8</c:v>
                </c:pt>
              </c:numCache>
            </c:numRef>
          </c:val>
          <c:extLst>
            <c:ext xmlns:c16="http://schemas.microsoft.com/office/drawing/2014/chart" uri="{C3380CC4-5D6E-409C-BE32-E72D297353CC}">
              <c16:uniqueId val="{00000002-36E1-476C-9C4C-388A8B0CD590}"/>
            </c:ext>
          </c:extLst>
        </c:ser>
        <c:dLbls>
          <c:dLblPos val="ctr"/>
          <c:showLegendKey val="0"/>
          <c:showVal val="1"/>
          <c:showCatName val="0"/>
          <c:showSerName val="0"/>
          <c:showPercent val="0"/>
          <c:showBubbleSize val="0"/>
        </c:dLbls>
        <c:gapWidth val="150"/>
        <c:overlap val="100"/>
        <c:axId val="1656696144"/>
        <c:axId val="1492805856"/>
      </c:barChart>
      <c:catAx>
        <c:axId val="165669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05856"/>
        <c:crosses val="autoZero"/>
        <c:auto val="1"/>
        <c:lblAlgn val="ctr"/>
        <c:lblOffset val="100"/>
        <c:noMultiLvlLbl val="0"/>
      </c:catAx>
      <c:valAx>
        <c:axId val="1492805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69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[Titanic_Cleaned.xlsx]Calculations!PivotTable6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Survival Rate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50000"/>
            </a:schemeClr>
          </a:solidFill>
          <a:ln>
            <a:noFill/>
          </a:ln>
          <a:effectLst/>
        </c:spPr>
        <c:marker>
          <c:symbol val="none"/>
        </c:marker>
      </c:pivotFmt>
    </c:pivotFmts>
    <c:plotArea>
      <c:layout/>
      <c:barChart>
        <c:barDir val="col"/>
        <c:grouping val="clustered"/>
        <c:varyColors val="0"/>
        <c:ser>
          <c:idx val="0"/>
          <c:order val="0"/>
          <c:tx>
            <c:strRef>
              <c:f>Calculations!$B$26</c:f>
              <c:strCache>
                <c:ptCount val="1"/>
                <c:pt idx="0">
                  <c:v>Total</c:v>
                </c:pt>
              </c:strCache>
            </c:strRef>
          </c:tx>
          <c:spPr>
            <a:solidFill>
              <a:schemeClr val="accent1">
                <a:lumMod val="50000"/>
              </a:schemeClr>
            </a:solidFill>
            <a:ln>
              <a:noFill/>
            </a:ln>
            <a:effectLst/>
          </c:spPr>
          <c:invertIfNegative val="0"/>
          <c:cat>
            <c:strRef>
              <c:f>Calculations!$A$27:$A$29</c:f>
              <c:strCache>
                <c:ptCount val="2"/>
                <c:pt idx="0">
                  <c:v>Female</c:v>
                </c:pt>
                <c:pt idx="1">
                  <c:v>Male</c:v>
                </c:pt>
              </c:strCache>
            </c:strRef>
          </c:cat>
          <c:val>
            <c:numRef>
              <c:f>Calculations!$B$27:$B$29</c:f>
              <c:numCache>
                <c:formatCode>0%</c:formatCode>
                <c:ptCount val="2"/>
                <c:pt idx="0">
                  <c:v>0.875</c:v>
                </c:pt>
                <c:pt idx="1">
                  <c:v>0.1875</c:v>
                </c:pt>
              </c:numCache>
            </c:numRef>
          </c:val>
          <c:extLst>
            <c:ext xmlns:c16="http://schemas.microsoft.com/office/drawing/2014/chart" uri="{C3380CC4-5D6E-409C-BE32-E72D297353CC}">
              <c16:uniqueId val="{00000000-04E3-498C-AC22-32BE52E755D8}"/>
            </c:ext>
          </c:extLst>
        </c:ser>
        <c:dLbls>
          <c:showLegendKey val="0"/>
          <c:showVal val="0"/>
          <c:showCatName val="0"/>
          <c:showSerName val="0"/>
          <c:showPercent val="0"/>
          <c:showBubbleSize val="0"/>
        </c:dLbls>
        <c:gapWidth val="219"/>
        <c:overlap val="-27"/>
        <c:axId val="1724363680"/>
        <c:axId val="1715170704"/>
      </c:barChart>
      <c:catAx>
        <c:axId val="172436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170704"/>
        <c:crosses val="autoZero"/>
        <c:auto val="1"/>
        <c:lblAlgn val="ctr"/>
        <c:lblOffset val="100"/>
        <c:noMultiLvlLbl val="0"/>
      </c:catAx>
      <c:valAx>
        <c:axId val="17151707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363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[Titanic_Cleaned.xlsx]Calculations!PivotTable7</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Survival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lumMod val="50000"/>
            </a:schemeClr>
          </a:solidFill>
          <a:ln>
            <a:noFill/>
          </a:ln>
          <a:effectLst/>
        </c:spPr>
        <c:marker>
          <c:symbol val="none"/>
        </c:marker>
      </c:pivotFmt>
      <c:pivotFmt>
        <c:idx val="8"/>
        <c:spPr>
          <a:solidFill>
            <a:schemeClr val="accent4">
              <a:lumMod val="60000"/>
              <a:lumOff val="40000"/>
            </a:schemeClr>
          </a:solidFill>
          <a:ln>
            <a:noFill/>
          </a:ln>
          <a:effectLst/>
        </c:spPr>
        <c:marker>
          <c:symbol val="none"/>
        </c:marker>
      </c:pivotFmt>
    </c:pivotFmts>
    <c:plotArea>
      <c:layout/>
      <c:barChart>
        <c:barDir val="col"/>
        <c:grouping val="clustered"/>
        <c:varyColors val="0"/>
        <c:ser>
          <c:idx val="0"/>
          <c:order val="0"/>
          <c:tx>
            <c:strRef>
              <c:f>Calculations!$B$31:$B$32</c:f>
              <c:strCache>
                <c:ptCount val="1"/>
                <c:pt idx="0">
                  <c:v>Survived</c:v>
                </c:pt>
              </c:strCache>
            </c:strRef>
          </c:tx>
          <c:spPr>
            <a:solidFill>
              <a:schemeClr val="accent4">
                <a:lumMod val="60000"/>
                <a:lumOff val="40000"/>
              </a:schemeClr>
            </a:solidFill>
            <a:ln>
              <a:noFill/>
            </a:ln>
            <a:effectLst/>
          </c:spPr>
          <c:invertIfNegative val="0"/>
          <c:cat>
            <c:strRef>
              <c:f>Calculations!$A$33:$A$34</c:f>
              <c:strCache>
                <c:ptCount val="1"/>
                <c:pt idx="0">
                  <c:v>Adult</c:v>
                </c:pt>
              </c:strCache>
            </c:strRef>
          </c:cat>
          <c:val>
            <c:numRef>
              <c:f>Calculations!$B$33:$B$34</c:f>
              <c:numCache>
                <c:formatCode>General</c:formatCode>
                <c:ptCount val="1"/>
                <c:pt idx="0">
                  <c:v>11</c:v>
                </c:pt>
              </c:numCache>
            </c:numRef>
          </c:val>
          <c:extLst>
            <c:ext xmlns:c16="http://schemas.microsoft.com/office/drawing/2014/chart" uri="{C3380CC4-5D6E-409C-BE32-E72D297353CC}">
              <c16:uniqueId val="{00000000-8B6C-4AB6-8864-6E319F7044B0}"/>
            </c:ext>
          </c:extLst>
        </c:ser>
        <c:ser>
          <c:idx val="1"/>
          <c:order val="1"/>
          <c:tx>
            <c:strRef>
              <c:f>Calculations!$C$31:$C$32</c:f>
              <c:strCache>
                <c:ptCount val="1"/>
                <c:pt idx="0">
                  <c:v>Not Survived</c:v>
                </c:pt>
              </c:strCache>
            </c:strRef>
          </c:tx>
          <c:spPr>
            <a:solidFill>
              <a:schemeClr val="accent1">
                <a:lumMod val="50000"/>
              </a:schemeClr>
            </a:solidFill>
            <a:ln>
              <a:noFill/>
            </a:ln>
            <a:effectLst/>
          </c:spPr>
          <c:invertIfNegative val="0"/>
          <c:cat>
            <c:strRef>
              <c:f>Calculations!$A$33:$A$34</c:f>
              <c:strCache>
                <c:ptCount val="1"/>
                <c:pt idx="0">
                  <c:v>Adult</c:v>
                </c:pt>
              </c:strCache>
            </c:strRef>
          </c:cat>
          <c:val>
            <c:numRef>
              <c:f>Calculations!$C$33:$C$34</c:f>
              <c:numCache>
                <c:formatCode>General</c:formatCode>
                <c:ptCount val="1"/>
                <c:pt idx="0">
                  <c:v>9</c:v>
                </c:pt>
              </c:numCache>
            </c:numRef>
          </c:val>
          <c:extLst>
            <c:ext xmlns:c16="http://schemas.microsoft.com/office/drawing/2014/chart" uri="{C3380CC4-5D6E-409C-BE32-E72D297353CC}">
              <c16:uniqueId val="{00000003-7528-435A-9140-955DEA2D98F4}"/>
            </c:ext>
          </c:extLst>
        </c:ser>
        <c:dLbls>
          <c:showLegendKey val="0"/>
          <c:showVal val="0"/>
          <c:showCatName val="0"/>
          <c:showSerName val="0"/>
          <c:showPercent val="0"/>
          <c:showBubbleSize val="0"/>
        </c:dLbls>
        <c:gapWidth val="219"/>
        <c:overlap val="-27"/>
        <c:axId val="1499908224"/>
        <c:axId val="1724762880"/>
      </c:barChart>
      <c:catAx>
        <c:axId val="149990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762880"/>
        <c:crosses val="autoZero"/>
        <c:auto val="1"/>
        <c:lblAlgn val="ctr"/>
        <c:lblOffset val="100"/>
        <c:noMultiLvlLbl val="0"/>
      </c:catAx>
      <c:valAx>
        <c:axId val="1724762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90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[Titanic_Cleaned.xlsx]Calculations!PivotTable9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Survival by Family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50000"/>
            </a:schemeClr>
          </a:solidFill>
          <a:ln>
            <a:noFill/>
          </a:ln>
          <a:effectLst/>
        </c:spPr>
        <c:marker>
          <c:symbol val="none"/>
        </c:marker>
      </c:pivotFmt>
    </c:pivotFmts>
    <c:plotArea>
      <c:layout/>
      <c:barChart>
        <c:barDir val="col"/>
        <c:grouping val="clustered"/>
        <c:varyColors val="0"/>
        <c:ser>
          <c:idx val="0"/>
          <c:order val="0"/>
          <c:tx>
            <c:strRef>
              <c:f>Calculations!$B$44</c:f>
              <c:strCache>
                <c:ptCount val="1"/>
                <c:pt idx="0">
                  <c:v>Total</c:v>
                </c:pt>
              </c:strCache>
            </c:strRef>
          </c:tx>
          <c:spPr>
            <a:solidFill>
              <a:schemeClr val="accent1">
                <a:lumMod val="50000"/>
              </a:schemeClr>
            </a:solidFill>
            <a:ln>
              <a:noFill/>
            </a:ln>
            <a:effectLst/>
          </c:spPr>
          <c:invertIfNegative val="0"/>
          <c:cat>
            <c:strRef>
              <c:f>Calculations!$A$45:$A$51</c:f>
              <c:strCache>
                <c:ptCount val="6"/>
                <c:pt idx="0">
                  <c:v>1</c:v>
                </c:pt>
                <c:pt idx="1">
                  <c:v>2</c:v>
                </c:pt>
                <c:pt idx="2">
                  <c:v>3</c:v>
                </c:pt>
                <c:pt idx="3">
                  <c:v>5</c:v>
                </c:pt>
                <c:pt idx="4">
                  <c:v>6</c:v>
                </c:pt>
                <c:pt idx="5">
                  <c:v>7</c:v>
                </c:pt>
              </c:strCache>
            </c:strRef>
          </c:cat>
          <c:val>
            <c:numRef>
              <c:f>Calculations!$B$45:$B$51</c:f>
              <c:numCache>
                <c:formatCode>0%</c:formatCode>
                <c:ptCount val="6"/>
                <c:pt idx="0">
                  <c:v>0.55555555555555558</c:v>
                </c:pt>
                <c:pt idx="1">
                  <c:v>0.66666666666666663</c:v>
                </c:pt>
                <c:pt idx="2">
                  <c:v>1</c:v>
                </c:pt>
                <c:pt idx="3">
                  <c:v>0</c:v>
                </c:pt>
                <c:pt idx="4">
                  <c:v>0</c:v>
                </c:pt>
                <c:pt idx="5">
                  <c:v>0.5</c:v>
                </c:pt>
              </c:numCache>
            </c:numRef>
          </c:val>
          <c:extLst>
            <c:ext xmlns:c16="http://schemas.microsoft.com/office/drawing/2014/chart" uri="{C3380CC4-5D6E-409C-BE32-E72D297353CC}">
              <c16:uniqueId val="{00000000-C356-416F-A893-61A30B08F400}"/>
            </c:ext>
          </c:extLst>
        </c:ser>
        <c:dLbls>
          <c:showLegendKey val="0"/>
          <c:showVal val="0"/>
          <c:showCatName val="0"/>
          <c:showSerName val="0"/>
          <c:showPercent val="0"/>
          <c:showBubbleSize val="0"/>
        </c:dLbls>
        <c:gapWidth val="150"/>
        <c:axId val="1651855472"/>
        <c:axId val="1487500608"/>
      </c:barChart>
      <c:catAx>
        <c:axId val="165185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00608"/>
        <c:crosses val="autoZero"/>
        <c:auto val="1"/>
        <c:lblAlgn val="ctr"/>
        <c:lblOffset val="100"/>
        <c:noMultiLvlLbl val="0"/>
      </c:catAx>
      <c:valAx>
        <c:axId val="14875006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855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[Titanic_Cleaned.xlsx]Calculations!PivotTable8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Alone vs With Family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5000"/>
                      </a:schemeClr>
                    </a:solidFill>
                  </a:ln>
                  <a:solidFill>
                    <a:schemeClr val="tx1">
                      <a:alpha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alpha val="75000"/>
                      </a:schemeClr>
                    </a:solidFill>
                  </a:ln>
                  <a:solidFill>
                    <a:schemeClr val="bg1">
                      <a:alpha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4">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5000"/>
                      </a:schemeClr>
                    </a:solidFill>
                  </a:ln>
                  <a:solidFill>
                    <a:schemeClr val="tx1">
                      <a:lumMod val="75000"/>
                      <a:lumOff val="25000"/>
                      <a:alpha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lumMod val="5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ln>
                      <a:solidFill>
                        <a:schemeClr val="tx1">
                          <a:alpha val="75000"/>
                        </a:schemeClr>
                      </a:solidFill>
                    </a:ln>
                    <a:solidFill>
                      <a:schemeClr val="tx1">
                        <a:alpha val="75000"/>
                      </a:schemeClr>
                    </a:solidFill>
                    <a:latin typeface="+mn-lt"/>
                    <a:ea typeface="+mn-ea"/>
                    <a:cs typeface="+mn-cs"/>
                  </a:defRPr>
                </a:pPr>
                <a:fld id="{DCDA2CD3-B048-4EEA-9CC9-AC52E754910B}" type="VALUE">
                  <a:rPr lang="en-US">
                    <a:ln>
                      <a:solidFill>
                        <a:schemeClr val="bg1">
                          <a:alpha val="75000"/>
                        </a:schemeClr>
                      </a:solidFill>
                    </a:ln>
                    <a:solidFill>
                      <a:schemeClr val="bg1">
                        <a:alpha val="75000"/>
                      </a:schemeClr>
                    </a:solidFill>
                  </a:rPr>
                  <a:pPr>
                    <a:defRPr>
                      <a:ln>
                        <a:solidFill>
                          <a:schemeClr val="tx1">
                            <a:alpha val="75000"/>
                          </a:schemeClr>
                        </a:solidFill>
                      </a:ln>
                      <a:solidFill>
                        <a:schemeClr val="tx1">
                          <a:alpha val="75000"/>
                        </a:schemeClr>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5000"/>
                      </a:schemeClr>
                    </a:solidFill>
                  </a:ln>
                  <a:solidFill>
                    <a:schemeClr val="tx1">
                      <a:alpha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4">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5000"/>
                      </a:schemeClr>
                    </a:solidFill>
                  </a:ln>
                  <a:solidFill>
                    <a:schemeClr val="tx1">
                      <a:alpha val="75000"/>
                    </a:schemeClr>
                  </a:solidFill>
                  <a:latin typeface="+mn-lt"/>
                  <a:ea typeface="+mn-ea"/>
                  <a:cs typeface="+mn-cs"/>
                </a:defRPr>
              </a:pPr>
              <a:endParaRPr lang="en-US"/>
            </a:p>
          </c:txPr>
        </c:dLbl>
      </c:pivotFmt>
    </c:pivotFmts>
    <c:plotArea>
      <c:layout>
        <c:manualLayout>
          <c:layoutTarget val="inner"/>
          <c:xMode val="edge"/>
          <c:yMode val="edge"/>
          <c:x val="0.27191157443347752"/>
          <c:y val="0.21651966236197603"/>
          <c:w val="0.4060986038716991"/>
          <c:h val="0.55805845944184862"/>
        </c:manualLayout>
      </c:layout>
      <c:doughnutChart>
        <c:varyColors val="1"/>
        <c:ser>
          <c:idx val="0"/>
          <c:order val="0"/>
          <c:tx>
            <c:strRef>
              <c:f>Calculations!$B$39</c:f>
              <c:strCache>
                <c:ptCount val="1"/>
                <c:pt idx="0">
                  <c:v>Total</c:v>
                </c:pt>
              </c:strCache>
            </c:strRef>
          </c:tx>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4AA3-4BA1-9F8D-67732353B1A9}"/>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4AA3-4BA1-9F8D-67732353B1A9}"/>
              </c:ext>
            </c:extLst>
          </c:dPt>
          <c:dLbls>
            <c:dLbl>
              <c:idx val="1"/>
              <c:tx>
                <c:rich>
                  <a:bodyPr/>
                  <a:lstStyle/>
                  <a:p>
                    <a:fld id="{DCDA2CD3-B048-4EEA-9CC9-AC52E754910B}" type="VALUE">
                      <a:rPr lang="en-US">
                        <a:ln>
                          <a:solidFill>
                            <a:schemeClr val="bg1">
                              <a:alpha val="75000"/>
                            </a:schemeClr>
                          </a:solidFill>
                        </a:ln>
                        <a:solidFill>
                          <a:schemeClr val="bg1">
                            <a:alpha val="75000"/>
                          </a:schemeClr>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AA3-4BA1-9F8D-67732353B1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75000"/>
                        </a:schemeClr>
                      </a:solidFill>
                    </a:ln>
                    <a:solidFill>
                      <a:schemeClr val="tx1">
                        <a:alpha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Calculations!$A$40:$A$42</c:f>
              <c:strCache>
                <c:ptCount val="2"/>
                <c:pt idx="0">
                  <c:v>Alone</c:v>
                </c:pt>
                <c:pt idx="1">
                  <c:v>With Family</c:v>
                </c:pt>
              </c:strCache>
            </c:strRef>
          </c:cat>
          <c:val>
            <c:numRef>
              <c:f>Calculations!$B$40:$B$42</c:f>
              <c:numCache>
                <c:formatCode>General</c:formatCode>
                <c:ptCount val="2"/>
                <c:pt idx="0">
                  <c:v>18</c:v>
                </c:pt>
                <c:pt idx="1">
                  <c:v>14</c:v>
                </c:pt>
              </c:numCache>
            </c:numRef>
          </c:val>
          <c:extLst>
            <c:ext xmlns:c16="http://schemas.microsoft.com/office/drawing/2014/chart" uri="{C3380CC4-5D6E-409C-BE32-E72D297353CC}">
              <c16:uniqueId val="{00000004-4AA3-4BA1-9F8D-67732353B1A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[Titanic_Cleaned.xlsx]Calculations!PivotTable10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Fare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lumMod val="50000"/>
            </a:schemeClr>
          </a:solidFill>
          <a:ln>
            <a:noFill/>
          </a:ln>
          <a:effectLst/>
        </c:spPr>
        <c:marker>
          <c:symbol val="none"/>
        </c:marker>
      </c:pivotFmt>
    </c:pivotFmts>
    <c:plotArea>
      <c:layout/>
      <c:barChart>
        <c:barDir val="bar"/>
        <c:grouping val="clustered"/>
        <c:varyColors val="0"/>
        <c:ser>
          <c:idx val="0"/>
          <c:order val="0"/>
          <c:tx>
            <c:strRef>
              <c:f>Calculations!$B$53</c:f>
              <c:strCache>
                <c:ptCount val="1"/>
                <c:pt idx="0">
                  <c:v>Total</c:v>
                </c:pt>
              </c:strCache>
            </c:strRef>
          </c:tx>
          <c:spPr>
            <a:solidFill>
              <a:schemeClr val="accent1">
                <a:lumMod val="50000"/>
              </a:schemeClr>
            </a:solidFill>
            <a:ln>
              <a:noFill/>
            </a:ln>
            <a:effectLst/>
          </c:spPr>
          <c:invertIfNegative val="0"/>
          <c:cat>
            <c:strRef>
              <c:f>Calculations!$A$54:$A$57</c:f>
              <c:strCache>
                <c:ptCount val="3"/>
                <c:pt idx="0">
                  <c:v>High Fare</c:v>
                </c:pt>
                <c:pt idx="1">
                  <c:v>Low Fare</c:v>
                </c:pt>
                <c:pt idx="2">
                  <c:v>Medium Fare</c:v>
                </c:pt>
              </c:strCache>
            </c:strRef>
          </c:cat>
          <c:val>
            <c:numRef>
              <c:f>Calculations!$B$54:$B$57</c:f>
              <c:numCache>
                <c:formatCode>0%</c:formatCode>
                <c:ptCount val="3"/>
                <c:pt idx="0">
                  <c:v>0.6</c:v>
                </c:pt>
                <c:pt idx="1">
                  <c:v>0.58823529411764708</c:v>
                </c:pt>
                <c:pt idx="2">
                  <c:v>0.4</c:v>
                </c:pt>
              </c:numCache>
            </c:numRef>
          </c:val>
          <c:extLst>
            <c:ext xmlns:c16="http://schemas.microsoft.com/office/drawing/2014/chart" uri="{C3380CC4-5D6E-409C-BE32-E72D297353CC}">
              <c16:uniqueId val="{00000000-490D-43DB-85BE-6408FFCA00BA}"/>
            </c:ext>
          </c:extLst>
        </c:ser>
        <c:dLbls>
          <c:showLegendKey val="0"/>
          <c:showVal val="0"/>
          <c:showCatName val="0"/>
          <c:showSerName val="0"/>
          <c:showPercent val="0"/>
          <c:showBubbleSize val="0"/>
        </c:dLbls>
        <c:gapWidth val="182"/>
        <c:axId val="1726221536"/>
        <c:axId val="1767061504"/>
      </c:barChart>
      <c:catAx>
        <c:axId val="1726221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061504"/>
        <c:crosses val="autoZero"/>
        <c:auto val="1"/>
        <c:lblAlgn val="ctr"/>
        <c:lblOffset val="100"/>
        <c:noMultiLvlLbl val="0"/>
      </c:catAx>
      <c:valAx>
        <c:axId val="176706150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221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[Titanic_Cleaned.xlsx]Calculations!PivotTable2</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Overall</a:t>
            </a:r>
            <a:r>
              <a:rPr lang="en-US" baseline="0"/>
              <a:t> Survival</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pivotFmt>
      <c:pivotFmt>
        <c:idx val="2"/>
        <c:spPr>
          <a:solidFill>
            <a:schemeClr val="accent1">
              <a:alpha val="70000"/>
            </a:schemeClr>
          </a:solidFill>
          <a:ln>
            <a:noFill/>
          </a:ln>
          <a:effectLst/>
        </c:spPr>
      </c:pivotFmt>
      <c:pivotFmt>
        <c:idx val="3"/>
        <c:spPr>
          <a:solidFill>
            <a:schemeClr val="accent1">
              <a:alpha val="70000"/>
            </a:schemeClr>
          </a:solidFill>
          <a:ln>
            <a:noFill/>
          </a:ln>
          <a:effectLst/>
        </c:spPr>
      </c:pivotFmt>
      <c:pivotFmt>
        <c:idx val="4"/>
        <c:spPr>
          <a:solidFill>
            <a:schemeClr val="accent1">
              <a:alpha val="70000"/>
            </a:schemeClr>
          </a:solidFill>
          <a:ln>
            <a:noFill/>
          </a:ln>
          <a:effectLst/>
        </c:spPr>
      </c:pivotFmt>
    </c:pivotFmts>
    <c:plotArea>
      <c:layout/>
      <c:doughnutChart>
        <c:varyColors val="1"/>
        <c:ser>
          <c:idx val="0"/>
          <c:order val="0"/>
          <c:tx>
            <c:strRef>
              <c:f>Calculations!$B$1</c:f>
              <c:strCache>
                <c:ptCount val="1"/>
                <c:pt idx="0">
                  <c:v>Total</c:v>
                </c:pt>
              </c:strCache>
            </c:strRef>
          </c:tx>
          <c:dPt>
            <c:idx val="0"/>
            <c:bubble3D val="0"/>
            <c:spPr>
              <a:solidFill>
                <a:schemeClr val="accent1">
                  <a:alpha val="70000"/>
                </a:schemeClr>
              </a:solidFill>
              <a:ln>
                <a:noFill/>
              </a:ln>
              <a:effectLst/>
            </c:spPr>
            <c:extLst>
              <c:ext xmlns:c16="http://schemas.microsoft.com/office/drawing/2014/chart" uri="{C3380CC4-5D6E-409C-BE32-E72D297353CC}">
                <c16:uniqueId val="{00000001-9736-4C89-9FA3-2148565F0490}"/>
              </c:ext>
            </c:extLst>
          </c:dPt>
          <c:dPt>
            <c:idx val="1"/>
            <c:bubble3D val="0"/>
            <c:spPr>
              <a:solidFill>
                <a:schemeClr val="accent2">
                  <a:alpha val="70000"/>
                </a:schemeClr>
              </a:solidFill>
              <a:ln>
                <a:noFill/>
              </a:ln>
              <a:effectLst/>
            </c:spPr>
            <c:extLst>
              <c:ext xmlns:c16="http://schemas.microsoft.com/office/drawing/2014/chart" uri="{C3380CC4-5D6E-409C-BE32-E72D297353CC}">
                <c16:uniqueId val="{00000003-9736-4C89-9FA3-2148565F04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Calculations!$A$2:$A$4</c:f>
              <c:strCache>
                <c:ptCount val="2"/>
                <c:pt idx="0">
                  <c:v>Survived</c:v>
                </c:pt>
                <c:pt idx="1">
                  <c:v>Not Survived</c:v>
                </c:pt>
              </c:strCache>
            </c:strRef>
          </c:cat>
          <c:val>
            <c:numRef>
              <c:f>Calculations!$B$2:$B$4</c:f>
              <c:numCache>
                <c:formatCode>General</c:formatCode>
                <c:ptCount val="2"/>
                <c:pt idx="0">
                  <c:v>17</c:v>
                </c:pt>
                <c:pt idx="1">
                  <c:v>15</c:v>
                </c:pt>
              </c:numCache>
            </c:numRef>
          </c:val>
          <c:extLst>
            <c:ext xmlns:c16="http://schemas.microsoft.com/office/drawing/2014/chart" uri="{C3380CC4-5D6E-409C-BE32-E72D297353CC}">
              <c16:uniqueId val="{00000000-8E1E-4A10-A981-3F949110F34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[Titanic_Cleaned.xlsx]Calculations!PivotTable3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Survival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Calculations!$B$12:$B$13</c:f>
              <c:strCache>
                <c:ptCount val="1"/>
                <c:pt idx="0">
                  <c:v>Not Survived</c:v>
                </c:pt>
              </c:strCache>
            </c:strRef>
          </c:tx>
          <c:spPr>
            <a:solidFill>
              <a:schemeClr val="accent1"/>
            </a:solidFill>
            <a:ln>
              <a:noFill/>
            </a:ln>
            <a:effectLst/>
          </c:spPr>
          <c:invertIfNegative val="0"/>
          <c:dLbls>
            <c:delete val="1"/>
          </c:dLbls>
          <c:cat>
            <c:strRef>
              <c:f>Calculations!$A$14:$A$16</c:f>
              <c:strCache>
                <c:ptCount val="2"/>
                <c:pt idx="0">
                  <c:v>Female</c:v>
                </c:pt>
                <c:pt idx="1">
                  <c:v>Male</c:v>
                </c:pt>
              </c:strCache>
            </c:strRef>
          </c:cat>
          <c:val>
            <c:numRef>
              <c:f>Calculations!$B$14:$B$16</c:f>
              <c:numCache>
                <c:formatCode>General</c:formatCode>
                <c:ptCount val="2"/>
                <c:pt idx="0">
                  <c:v>2</c:v>
                </c:pt>
                <c:pt idx="1">
                  <c:v>13</c:v>
                </c:pt>
              </c:numCache>
            </c:numRef>
          </c:val>
          <c:extLst>
            <c:ext xmlns:c16="http://schemas.microsoft.com/office/drawing/2014/chart" uri="{C3380CC4-5D6E-409C-BE32-E72D297353CC}">
              <c16:uniqueId val="{00000000-8C9C-450E-9973-DEADE731828A}"/>
            </c:ext>
          </c:extLst>
        </c:ser>
        <c:ser>
          <c:idx val="1"/>
          <c:order val="1"/>
          <c:tx>
            <c:strRef>
              <c:f>Calculations!$C$12:$C$13</c:f>
              <c:strCache>
                <c:ptCount val="1"/>
                <c:pt idx="0">
                  <c:v>Survived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Calculations!$A$14:$A$16</c:f>
              <c:strCache>
                <c:ptCount val="2"/>
                <c:pt idx="0">
                  <c:v>Female</c:v>
                </c:pt>
                <c:pt idx="1">
                  <c:v>Male</c:v>
                </c:pt>
              </c:strCache>
            </c:strRef>
          </c:cat>
          <c:val>
            <c:numRef>
              <c:f>Calculations!$C$14:$C$16</c:f>
              <c:numCache>
                <c:formatCode>General</c:formatCode>
                <c:ptCount val="2"/>
                <c:pt idx="0">
                  <c:v>14</c:v>
                </c:pt>
                <c:pt idx="1">
                  <c:v>3</c:v>
                </c:pt>
              </c:numCache>
            </c:numRef>
          </c:val>
          <c:extLst>
            <c:ext xmlns:c16="http://schemas.microsoft.com/office/drawing/2014/chart" uri="{C3380CC4-5D6E-409C-BE32-E72D297353CC}">
              <c16:uniqueId val="{00000002-460D-4C43-B75C-DD4D6A8B0123}"/>
            </c:ext>
          </c:extLst>
        </c:ser>
        <c:dLbls>
          <c:dLblPos val="ctr"/>
          <c:showLegendKey val="0"/>
          <c:showVal val="1"/>
          <c:showCatName val="0"/>
          <c:showSerName val="0"/>
          <c:showPercent val="0"/>
          <c:showBubbleSize val="0"/>
        </c:dLbls>
        <c:gapWidth val="150"/>
        <c:overlap val="100"/>
        <c:axId val="1681844784"/>
        <c:axId val="1457423472"/>
      </c:barChart>
      <c:catAx>
        <c:axId val="1681844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423472"/>
        <c:crosses val="autoZero"/>
        <c:auto val="1"/>
        <c:lblAlgn val="ctr"/>
        <c:lblOffset val="100"/>
        <c:noMultiLvlLbl val="0"/>
      </c:catAx>
      <c:valAx>
        <c:axId val="145742347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84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[Titanic_Cleaned.xlsx]Calculations!PivotTable5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Survival by Passenger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Calculations!$B$19:$B$20</c:f>
              <c:strCache>
                <c:ptCount val="1"/>
                <c:pt idx="0">
                  <c:v>Not Survived</c:v>
                </c:pt>
              </c:strCache>
            </c:strRef>
          </c:tx>
          <c:spPr>
            <a:solidFill>
              <a:schemeClr val="accent1"/>
            </a:solidFill>
            <a:ln>
              <a:noFill/>
            </a:ln>
            <a:effectLst/>
          </c:spPr>
          <c:invertIfNegative val="0"/>
          <c:dLbls>
            <c:delete val="1"/>
          </c:dLbls>
          <c:cat>
            <c:strRef>
              <c:f>Calculations!$A$21:$A$24</c:f>
              <c:strCache>
                <c:ptCount val="3"/>
                <c:pt idx="0">
                  <c:v>1</c:v>
                </c:pt>
                <c:pt idx="1">
                  <c:v>2</c:v>
                </c:pt>
                <c:pt idx="2">
                  <c:v>3</c:v>
                </c:pt>
              </c:strCache>
            </c:strRef>
          </c:cat>
          <c:val>
            <c:numRef>
              <c:f>Calculations!$B$21:$B$24</c:f>
              <c:numCache>
                <c:formatCode>General</c:formatCode>
                <c:ptCount val="3"/>
                <c:pt idx="0">
                  <c:v>3</c:v>
                </c:pt>
                <c:pt idx="1">
                  <c:v>1</c:v>
                </c:pt>
                <c:pt idx="2">
                  <c:v>11</c:v>
                </c:pt>
              </c:numCache>
            </c:numRef>
          </c:val>
          <c:extLst>
            <c:ext xmlns:c16="http://schemas.microsoft.com/office/drawing/2014/chart" uri="{C3380CC4-5D6E-409C-BE32-E72D297353CC}">
              <c16:uniqueId val="{00000000-57C9-4DC7-945B-DFBB41370146}"/>
            </c:ext>
          </c:extLst>
        </c:ser>
        <c:ser>
          <c:idx val="1"/>
          <c:order val="1"/>
          <c:tx>
            <c:strRef>
              <c:f>Calculations!$C$19:$C$20</c:f>
              <c:strCache>
                <c:ptCount val="1"/>
                <c:pt idx="0">
                  <c:v>Survived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Calculations!$A$21:$A$24</c:f>
              <c:strCache>
                <c:ptCount val="3"/>
                <c:pt idx="0">
                  <c:v>1</c:v>
                </c:pt>
                <c:pt idx="1">
                  <c:v>2</c:v>
                </c:pt>
                <c:pt idx="2">
                  <c:v>3</c:v>
                </c:pt>
              </c:strCache>
            </c:strRef>
          </c:cat>
          <c:val>
            <c:numRef>
              <c:f>Calculations!$C$21:$C$24</c:f>
              <c:numCache>
                <c:formatCode>General</c:formatCode>
                <c:ptCount val="3"/>
                <c:pt idx="0">
                  <c:v>5</c:v>
                </c:pt>
                <c:pt idx="1">
                  <c:v>4</c:v>
                </c:pt>
                <c:pt idx="2">
                  <c:v>8</c:v>
                </c:pt>
              </c:numCache>
            </c:numRef>
          </c:val>
          <c:extLst>
            <c:ext xmlns:c16="http://schemas.microsoft.com/office/drawing/2014/chart" uri="{C3380CC4-5D6E-409C-BE32-E72D297353CC}">
              <c16:uniqueId val="{00000002-96A5-43CB-8AE1-46027166C153}"/>
            </c:ext>
          </c:extLst>
        </c:ser>
        <c:dLbls>
          <c:dLblPos val="ctr"/>
          <c:showLegendKey val="0"/>
          <c:showVal val="1"/>
          <c:showCatName val="0"/>
          <c:showSerName val="0"/>
          <c:showPercent val="0"/>
          <c:showBubbleSize val="0"/>
        </c:dLbls>
        <c:gapWidth val="150"/>
        <c:overlap val="100"/>
        <c:axId val="1656696144"/>
        <c:axId val="1492805856"/>
      </c:barChart>
      <c:catAx>
        <c:axId val="165669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05856"/>
        <c:crosses val="autoZero"/>
        <c:auto val="1"/>
        <c:lblAlgn val="ctr"/>
        <c:lblOffset val="100"/>
        <c:noMultiLvlLbl val="0"/>
      </c:catAx>
      <c:valAx>
        <c:axId val="1492805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69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[Titanic_Cleaned.xlsx]Calculations!PivotTable6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Survival Rate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Calculations!$B$26</c:f>
              <c:strCache>
                <c:ptCount val="1"/>
                <c:pt idx="0">
                  <c:v>Total</c:v>
                </c:pt>
              </c:strCache>
            </c:strRef>
          </c:tx>
          <c:spPr>
            <a:solidFill>
              <a:schemeClr val="accent1"/>
            </a:solidFill>
            <a:ln>
              <a:noFill/>
            </a:ln>
            <a:effectLst/>
          </c:spPr>
          <c:invertIfNegative val="0"/>
          <c:cat>
            <c:strRef>
              <c:f>Calculations!$A$27:$A$29</c:f>
              <c:strCache>
                <c:ptCount val="2"/>
                <c:pt idx="0">
                  <c:v>Female</c:v>
                </c:pt>
                <c:pt idx="1">
                  <c:v>Male</c:v>
                </c:pt>
              </c:strCache>
            </c:strRef>
          </c:cat>
          <c:val>
            <c:numRef>
              <c:f>Calculations!$B$27:$B$29</c:f>
              <c:numCache>
                <c:formatCode>0%</c:formatCode>
                <c:ptCount val="2"/>
                <c:pt idx="0">
                  <c:v>0.875</c:v>
                </c:pt>
                <c:pt idx="1">
                  <c:v>0.1875</c:v>
                </c:pt>
              </c:numCache>
            </c:numRef>
          </c:val>
          <c:extLst>
            <c:ext xmlns:c16="http://schemas.microsoft.com/office/drawing/2014/chart" uri="{C3380CC4-5D6E-409C-BE32-E72D297353CC}">
              <c16:uniqueId val="{00000000-55B3-4768-8ECD-1AB087757D79}"/>
            </c:ext>
          </c:extLst>
        </c:ser>
        <c:dLbls>
          <c:showLegendKey val="0"/>
          <c:showVal val="0"/>
          <c:showCatName val="0"/>
          <c:showSerName val="0"/>
          <c:showPercent val="0"/>
          <c:showBubbleSize val="0"/>
        </c:dLbls>
        <c:gapWidth val="219"/>
        <c:overlap val="-27"/>
        <c:axId val="1724363680"/>
        <c:axId val="1715170704"/>
      </c:barChart>
      <c:catAx>
        <c:axId val="172436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170704"/>
        <c:crosses val="autoZero"/>
        <c:auto val="1"/>
        <c:lblAlgn val="ctr"/>
        <c:lblOffset val="100"/>
        <c:noMultiLvlLbl val="0"/>
      </c:catAx>
      <c:valAx>
        <c:axId val="1715170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363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[Titanic_Cleaned.xlsx]Calculations!PivotTable7</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Survival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Calculations!$B$31:$B$32</c:f>
              <c:strCache>
                <c:ptCount val="1"/>
                <c:pt idx="0">
                  <c:v>Survived</c:v>
                </c:pt>
              </c:strCache>
            </c:strRef>
          </c:tx>
          <c:spPr>
            <a:solidFill>
              <a:schemeClr val="accent1"/>
            </a:solidFill>
            <a:ln>
              <a:noFill/>
            </a:ln>
            <a:effectLst/>
          </c:spPr>
          <c:invertIfNegative val="0"/>
          <c:cat>
            <c:strRef>
              <c:f>Calculations!$A$33:$A$34</c:f>
              <c:strCache>
                <c:ptCount val="1"/>
                <c:pt idx="0">
                  <c:v>Adult</c:v>
                </c:pt>
              </c:strCache>
            </c:strRef>
          </c:cat>
          <c:val>
            <c:numRef>
              <c:f>Calculations!$B$33:$B$34</c:f>
              <c:numCache>
                <c:formatCode>General</c:formatCode>
                <c:ptCount val="1"/>
                <c:pt idx="0">
                  <c:v>11</c:v>
                </c:pt>
              </c:numCache>
            </c:numRef>
          </c:val>
          <c:extLst>
            <c:ext xmlns:c16="http://schemas.microsoft.com/office/drawing/2014/chart" uri="{C3380CC4-5D6E-409C-BE32-E72D297353CC}">
              <c16:uniqueId val="{00000000-9552-40EC-9804-12197164E139}"/>
            </c:ext>
          </c:extLst>
        </c:ser>
        <c:ser>
          <c:idx val="1"/>
          <c:order val="1"/>
          <c:tx>
            <c:strRef>
              <c:f>Calculations!$C$31:$C$32</c:f>
              <c:strCache>
                <c:ptCount val="1"/>
                <c:pt idx="0">
                  <c:v>Not Survived</c:v>
                </c:pt>
              </c:strCache>
            </c:strRef>
          </c:tx>
          <c:spPr>
            <a:solidFill>
              <a:schemeClr val="accent2"/>
            </a:solidFill>
            <a:ln>
              <a:noFill/>
            </a:ln>
            <a:effectLst/>
          </c:spPr>
          <c:invertIfNegative val="0"/>
          <c:cat>
            <c:strRef>
              <c:f>Calculations!$A$33:$A$34</c:f>
              <c:strCache>
                <c:ptCount val="1"/>
                <c:pt idx="0">
                  <c:v>Adult</c:v>
                </c:pt>
              </c:strCache>
            </c:strRef>
          </c:cat>
          <c:val>
            <c:numRef>
              <c:f>Calculations!$C$33:$C$34</c:f>
              <c:numCache>
                <c:formatCode>General</c:formatCode>
                <c:ptCount val="1"/>
                <c:pt idx="0">
                  <c:v>9</c:v>
                </c:pt>
              </c:numCache>
            </c:numRef>
          </c:val>
          <c:extLst>
            <c:ext xmlns:c16="http://schemas.microsoft.com/office/drawing/2014/chart" uri="{C3380CC4-5D6E-409C-BE32-E72D297353CC}">
              <c16:uniqueId val="{00000003-8D67-4E84-AE01-C446B663121D}"/>
            </c:ext>
          </c:extLst>
        </c:ser>
        <c:dLbls>
          <c:showLegendKey val="0"/>
          <c:showVal val="0"/>
          <c:showCatName val="0"/>
          <c:showSerName val="0"/>
          <c:showPercent val="0"/>
          <c:showBubbleSize val="0"/>
        </c:dLbls>
        <c:gapWidth val="219"/>
        <c:overlap val="-27"/>
        <c:axId val="1499908224"/>
        <c:axId val="1724762880"/>
      </c:barChart>
      <c:catAx>
        <c:axId val="149990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762880"/>
        <c:crosses val="autoZero"/>
        <c:auto val="1"/>
        <c:lblAlgn val="ctr"/>
        <c:lblOffset val="100"/>
        <c:noMultiLvlLbl val="0"/>
      </c:catAx>
      <c:valAx>
        <c:axId val="1724762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90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[Titanic_Cleaned.xlsx]Calculations!PivotTable8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Alone vs With Family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Calculations!$B$39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56-43AD-8A94-290CF97E15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56-43AD-8A94-290CF97E15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Calculations!$A$40:$A$42</c:f>
              <c:strCache>
                <c:ptCount val="2"/>
                <c:pt idx="0">
                  <c:v>Alone</c:v>
                </c:pt>
                <c:pt idx="1">
                  <c:v>With Family</c:v>
                </c:pt>
              </c:strCache>
            </c:strRef>
          </c:cat>
          <c:val>
            <c:numRef>
              <c:f>Calculations!$B$40:$B$42</c:f>
              <c:numCache>
                <c:formatCode>General</c:formatCode>
                <c:ptCount val="2"/>
                <c:pt idx="0">
                  <c:v>18</c:v>
                </c:pt>
                <c:pt idx="1">
                  <c:v>14</c:v>
                </c:pt>
              </c:numCache>
            </c:numRef>
          </c:val>
          <c:extLst>
            <c:ext xmlns:c16="http://schemas.microsoft.com/office/drawing/2014/chart" uri="{C3380CC4-5D6E-409C-BE32-E72D297353CC}">
              <c16:uniqueId val="{00000000-D183-4F6B-9B0C-B141FB87993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[Titanic_Cleaned.xlsx]Calculations!PivotTable9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Family Size vs Survival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Calculations!$B$44</c:f>
              <c:strCache>
                <c:ptCount val="1"/>
                <c:pt idx="0">
                  <c:v>Total</c:v>
                </c:pt>
              </c:strCache>
            </c:strRef>
          </c:tx>
          <c:spPr>
            <a:solidFill>
              <a:schemeClr val="accent1"/>
            </a:solidFill>
            <a:ln>
              <a:noFill/>
            </a:ln>
            <a:effectLst/>
          </c:spPr>
          <c:invertIfNegative val="0"/>
          <c:cat>
            <c:strRef>
              <c:f>Calculations!$A$45:$A$51</c:f>
              <c:strCache>
                <c:ptCount val="6"/>
                <c:pt idx="0">
                  <c:v>1</c:v>
                </c:pt>
                <c:pt idx="1">
                  <c:v>2</c:v>
                </c:pt>
                <c:pt idx="2">
                  <c:v>3</c:v>
                </c:pt>
                <c:pt idx="3">
                  <c:v>5</c:v>
                </c:pt>
                <c:pt idx="4">
                  <c:v>6</c:v>
                </c:pt>
                <c:pt idx="5">
                  <c:v>7</c:v>
                </c:pt>
              </c:strCache>
            </c:strRef>
          </c:cat>
          <c:val>
            <c:numRef>
              <c:f>Calculations!$B$45:$B$51</c:f>
              <c:numCache>
                <c:formatCode>0%</c:formatCode>
                <c:ptCount val="6"/>
                <c:pt idx="0">
                  <c:v>0.55555555555555558</c:v>
                </c:pt>
                <c:pt idx="1">
                  <c:v>0.66666666666666663</c:v>
                </c:pt>
                <c:pt idx="2">
                  <c:v>1</c:v>
                </c:pt>
                <c:pt idx="3">
                  <c:v>0</c:v>
                </c:pt>
                <c:pt idx="4">
                  <c:v>0</c:v>
                </c:pt>
                <c:pt idx="5">
                  <c:v>0.5</c:v>
                </c:pt>
              </c:numCache>
            </c:numRef>
          </c:val>
          <c:extLst>
            <c:ext xmlns:c16="http://schemas.microsoft.com/office/drawing/2014/chart" uri="{C3380CC4-5D6E-409C-BE32-E72D297353CC}">
              <c16:uniqueId val="{00000000-1AE7-4E54-AB72-9DAF409E16E4}"/>
            </c:ext>
          </c:extLst>
        </c:ser>
        <c:dLbls>
          <c:showLegendKey val="0"/>
          <c:showVal val="0"/>
          <c:showCatName val="0"/>
          <c:showSerName val="0"/>
          <c:showPercent val="0"/>
          <c:showBubbleSize val="0"/>
        </c:dLbls>
        <c:gapWidth val="150"/>
        <c:axId val="1651855472"/>
        <c:axId val="1487500608"/>
      </c:barChart>
      <c:catAx>
        <c:axId val="165185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00608"/>
        <c:crosses val="autoZero"/>
        <c:auto val="1"/>
        <c:lblAlgn val="ctr"/>
        <c:lblOffset val="100"/>
        <c:noMultiLvlLbl val="0"/>
      </c:catAx>
      <c:valAx>
        <c:axId val="1487500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855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[Titanic_Cleaned.xlsx]Calculations!PivotTable10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Fare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Calculations!$B$53</c:f>
              <c:strCache>
                <c:ptCount val="1"/>
                <c:pt idx="0">
                  <c:v>Total</c:v>
                </c:pt>
              </c:strCache>
            </c:strRef>
          </c:tx>
          <c:spPr>
            <a:solidFill>
              <a:schemeClr val="accent1"/>
            </a:solidFill>
            <a:ln>
              <a:noFill/>
            </a:ln>
            <a:effectLst/>
          </c:spPr>
          <c:invertIfNegative val="0"/>
          <c:cat>
            <c:strRef>
              <c:f>Calculations!$A$54:$A$57</c:f>
              <c:strCache>
                <c:ptCount val="3"/>
                <c:pt idx="0">
                  <c:v>High Fare</c:v>
                </c:pt>
                <c:pt idx="1">
                  <c:v>Low Fare</c:v>
                </c:pt>
                <c:pt idx="2">
                  <c:v>Medium Fare</c:v>
                </c:pt>
              </c:strCache>
            </c:strRef>
          </c:cat>
          <c:val>
            <c:numRef>
              <c:f>Calculations!$B$54:$B$57</c:f>
              <c:numCache>
                <c:formatCode>0%</c:formatCode>
                <c:ptCount val="3"/>
                <c:pt idx="0">
                  <c:v>0.6</c:v>
                </c:pt>
                <c:pt idx="1">
                  <c:v>0.58823529411764708</c:v>
                </c:pt>
                <c:pt idx="2">
                  <c:v>0.4</c:v>
                </c:pt>
              </c:numCache>
            </c:numRef>
          </c:val>
          <c:extLst>
            <c:ext xmlns:c16="http://schemas.microsoft.com/office/drawing/2014/chart" uri="{C3380CC4-5D6E-409C-BE32-E72D297353CC}">
              <c16:uniqueId val="{00000002-6E18-4D7B-B430-515A111871CD}"/>
            </c:ext>
          </c:extLst>
        </c:ser>
        <c:dLbls>
          <c:showLegendKey val="0"/>
          <c:showVal val="0"/>
          <c:showCatName val="0"/>
          <c:showSerName val="0"/>
          <c:showPercent val="0"/>
          <c:showBubbleSize val="0"/>
        </c:dLbls>
        <c:gapWidth val="182"/>
        <c:axId val="1726221536"/>
        <c:axId val="1767061504"/>
      </c:barChart>
      <c:catAx>
        <c:axId val="1726221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061504"/>
        <c:crosses val="autoZero"/>
        <c:auto val="1"/>
        <c:lblAlgn val="ctr"/>
        <c:lblOffset val="100"/>
        <c:noMultiLvlLbl val="0"/>
      </c:catAx>
      <c:valAx>
        <c:axId val="17670615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221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9524</xdr:colOff>
      <xdr:row>7</xdr:row>
      <xdr:rowOff>95250</xdr:rowOff>
    </xdr:from>
    <xdr:to>
      <xdr:col>2</xdr:col>
      <xdr:colOff>466725</xdr:colOff>
      <xdr:row>12</xdr:row>
      <xdr:rowOff>76200</xdr:rowOff>
    </xdr:to>
    <mc:AlternateContent xmlns:mc="http://schemas.openxmlformats.org/markup-compatibility/2006" xmlns:a14="http://schemas.microsoft.com/office/drawing/2010/main">
      <mc:Choice Requires="a14">
        <xdr:graphicFrame macro="">
          <xdr:nvGraphicFramePr>
            <xdr:cNvPr id="2" name="Sex 1">
              <a:extLst>
                <a:ext uri="{FF2B5EF4-FFF2-40B4-BE49-F238E27FC236}">
                  <a16:creationId xmlns:a16="http://schemas.microsoft.com/office/drawing/2014/main" id="{C89AC525-9DCD-44B4-9AFE-EF3BFC8D0ABF}"/>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0" y="1343025"/>
              <a:ext cx="1828800"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85724</xdr:rowOff>
    </xdr:from>
    <xdr:to>
      <xdr:col>2</xdr:col>
      <xdr:colOff>466725</xdr:colOff>
      <xdr:row>18</xdr:row>
      <xdr:rowOff>142875</xdr:rowOff>
    </xdr:to>
    <mc:AlternateContent xmlns:mc="http://schemas.openxmlformats.org/markup-compatibility/2006" xmlns:a14="http://schemas.microsoft.com/office/drawing/2010/main">
      <mc:Choice Requires="a14">
        <xdr:graphicFrame macro="">
          <xdr:nvGraphicFramePr>
            <xdr:cNvPr id="3" name="Pclass 1">
              <a:extLst>
                <a:ext uri="{FF2B5EF4-FFF2-40B4-BE49-F238E27FC236}">
                  <a16:creationId xmlns:a16="http://schemas.microsoft.com/office/drawing/2014/main" id="{66F057DC-61F9-4E2E-8DB7-679FFCA75EDA}"/>
                </a:ext>
              </a:extLst>
            </xdr:cNvPr>
            <xdr:cNvGraphicFramePr/>
          </xdr:nvGraphicFramePr>
          <xdr:xfrm>
            <a:off x="0" y="0"/>
            <a:ext cx="0" cy="0"/>
          </xdr:xfrm>
          <a:graphic>
            <a:graphicData uri="http://schemas.microsoft.com/office/drawing/2010/slicer">
              <sle:slicer xmlns:sle="http://schemas.microsoft.com/office/drawing/2010/slicer" name="Pclass 1"/>
            </a:graphicData>
          </a:graphic>
        </xdr:graphicFrame>
      </mc:Choice>
      <mc:Fallback xmlns="">
        <xdr:sp macro="" textlink="">
          <xdr:nvSpPr>
            <xdr:cNvPr id="0" name=""/>
            <xdr:cNvSpPr>
              <a:spLocks noTextEdit="1"/>
            </xdr:cNvSpPr>
          </xdr:nvSpPr>
          <xdr:spPr>
            <a:xfrm>
              <a:off x="0" y="2285999"/>
              <a:ext cx="1828800" cy="1200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18</xdr:row>
      <xdr:rowOff>142876</xdr:rowOff>
    </xdr:from>
    <xdr:to>
      <xdr:col>2</xdr:col>
      <xdr:colOff>466725</xdr:colOff>
      <xdr:row>25</xdr:row>
      <xdr:rowOff>0</xdr:rowOff>
    </xdr:to>
    <mc:AlternateContent xmlns:mc="http://schemas.openxmlformats.org/markup-compatibility/2006" xmlns:a14="http://schemas.microsoft.com/office/drawing/2010/main">
      <mc:Choice Requires="a14">
        <xdr:graphicFrame macro="">
          <xdr:nvGraphicFramePr>
            <xdr:cNvPr id="4" name="Embarked 1">
              <a:extLst>
                <a:ext uri="{FF2B5EF4-FFF2-40B4-BE49-F238E27FC236}">
                  <a16:creationId xmlns:a16="http://schemas.microsoft.com/office/drawing/2014/main" id="{9DB8BCF8-2AEE-489D-A0D4-41DF0A90242D}"/>
                </a:ext>
              </a:extLst>
            </xdr:cNvPr>
            <xdr:cNvGraphicFramePr/>
          </xdr:nvGraphicFramePr>
          <xdr:xfrm>
            <a:off x="0" y="0"/>
            <a:ext cx="0" cy="0"/>
          </xdr:xfrm>
          <a:graphic>
            <a:graphicData uri="http://schemas.microsoft.com/office/drawing/2010/slicer">
              <sle:slicer xmlns:sle="http://schemas.microsoft.com/office/drawing/2010/slicer" name="Embarked 1"/>
            </a:graphicData>
          </a:graphic>
        </xdr:graphicFrame>
      </mc:Choice>
      <mc:Fallback xmlns="">
        <xdr:sp macro="" textlink="">
          <xdr:nvSpPr>
            <xdr:cNvPr id="0" name=""/>
            <xdr:cNvSpPr>
              <a:spLocks noTextEdit="1"/>
            </xdr:cNvSpPr>
          </xdr:nvSpPr>
          <xdr:spPr>
            <a:xfrm>
              <a:off x="0" y="3486151"/>
              <a:ext cx="1828800" cy="1190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466725</xdr:colOff>
      <xdr:row>9</xdr:row>
      <xdr:rowOff>9525</xdr:rowOff>
    </xdr:from>
    <xdr:to>
      <xdr:col>7</xdr:col>
      <xdr:colOff>1</xdr:colOff>
      <xdr:row>17</xdr:row>
      <xdr:rowOff>28576</xdr:rowOff>
    </xdr:to>
    <xdr:graphicFrame macro="">
      <xdr:nvGraphicFramePr>
        <xdr:cNvPr id="6" name="Chart 5">
          <a:extLst>
            <a:ext uri="{FF2B5EF4-FFF2-40B4-BE49-F238E27FC236}">
              <a16:creationId xmlns:a16="http://schemas.microsoft.com/office/drawing/2014/main" id="{A77E24BA-F2B1-4FDD-B068-899EF01E4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9524</xdr:colOff>
      <xdr:row>9</xdr:row>
      <xdr:rowOff>9525</xdr:rowOff>
    </xdr:from>
    <xdr:to>
      <xdr:col>11</xdr:col>
      <xdr:colOff>142875</xdr:colOff>
      <xdr:row>17</xdr:row>
      <xdr:rowOff>28574</xdr:rowOff>
    </xdr:to>
    <xdr:graphicFrame macro="">
      <xdr:nvGraphicFramePr>
        <xdr:cNvPr id="7" name="Chart 6">
          <a:extLst>
            <a:ext uri="{FF2B5EF4-FFF2-40B4-BE49-F238E27FC236}">
              <a16:creationId xmlns:a16="http://schemas.microsoft.com/office/drawing/2014/main" id="{DCED3EA2-FDC6-4A09-BE35-79D2324AC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152400</xdr:colOff>
      <xdr:row>9</xdr:row>
      <xdr:rowOff>9525</xdr:rowOff>
    </xdr:from>
    <xdr:to>
      <xdr:col>15</xdr:col>
      <xdr:colOff>171449</xdr:colOff>
      <xdr:row>17</xdr:row>
      <xdr:rowOff>28575</xdr:rowOff>
    </xdr:to>
    <xdr:graphicFrame macro="">
      <xdr:nvGraphicFramePr>
        <xdr:cNvPr id="8" name="Chart 7">
          <a:extLst>
            <a:ext uri="{FF2B5EF4-FFF2-40B4-BE49-F238E27FC236}">
              <a16:creationId xmlns:a16="http://schemas.microsoft.com/office/drawing/2014/main" id="{2684DCD8-FF6F-4B4E-82BA-67AF58DF2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180975</xdr:colOff>
      <xdr:row>9</xdr:row>
      <xdr:rowOff>9525</xdr:rowOff>
    </xdr:from>
    <xdr:to>
      <xdr:col>21</xdr:col>
      <xdr:colOff>1</xdr:colOff>
      <xdr:row>17</xdr:row>
      <xdr:rowOff>38101</xdr:rowOff>
    </xdr:to>
    <xdr:graphicFrame macro="">
      <xdr:nvGraphicFramePr>
        <xdr:cNvPr id="9" name="Chart 8">
          <a:extLst>
            <a:ext uri="{FF2B5EF4-FFF2-40B4-BE49-F238E27FC236}">
              <a16:creationId xmlns:a16="http://schemas.microsoft.com/office/drawing/2014/main" id="{E47B7963-FC4D-44E4-A5D0-FFEF51F32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219074</xdr:colOff>
      <xdr:row>17</xdr:row>
      <xdr:rowOff>38100</xdr:rowOff>
    </xdr:from>
    <xdr:to>
      <xdr:col>11</xdr:col>
      <xdr:colOff>142875</xdr:colOff>
      <xdr:row>24</xdr:row>
      <xdr:rowOff>180975</xdr:rowOff>
    </xdr:to>
    <xdr:graphicFrame macro="">
      <xdr:nvGraphicFramePr>
        <xdr:cNvPr id="10" name="Chart 9">
          <a:extLst>
            <a:ext uri="{FF2B5EF4-FFF2-40B4-BE49-F238E27FC236}">
              <a16:creationId xmlns:a16="http://schemas.microsoft.com/office/drawing/2014/main" id="{7633FF3A-3DB8-4C81-8141-E0784BF3D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152400</xdr:colOff>
      <xdr:row>17</xdr:row>
      <xdr:rowOff>38102</xdr:rowOff>
    </xdr:from>
    <xdr:to>
      <xdr:col>15</xdr:col>
      <xdr:colOff>171450</xdr:colOff>
      <xdr:row>24</xdr:row>
      <xdr:rowOff>180976</xdr:rowOff>
    </xdr:to>
    <xdr:graphicFrame macro="">
      <xdr:nvGraphicFramePr>
        <xdr:cNvPr id="12" name="Chart 11">
          <a:extLst>
            <a:ext uri="{FF2B5EF4-FFF2-40B4-BE49-F238E27FC236}">
              <a16:creationId xmlns:a16="http://schemas.microsoft.com/office/drawing/2014/main" id="{15978AE6-C4A0-4407-9C6B-F0CC676EF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466726</xdr:colOff>
      <xdr:row>17</xdr:row>
      <xdr:rowOff>38101</xdr:rowOff>
    </xdr:from>
    <xdr:to>
      <xdr:col>6</xdr:col>
      <xdr:colOff>209551</xdr:colOff>
      <xdr:row>24</xdr:row>
      <xdr:rowOff>180975</xdr:rowOff>
    </xdr:to>
    <xdr:graphicFrame macro="">
      <xdr:nvGraphicFramePr>
        <xdr:cNvPr id="13" name="Chart 12">
          <a:extLst>
            <a:ext uri="{FF2B5EF4-FFF2-40B4-BE49-F238E27FC236}">
              <a16:creationId xmlns:a16="http://schemas.microsoft.com/office/drawing/2014/main" id="{79E4F7D4-238F-4047-B59E-08762B747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180976</xdr:colOff>
      <xdr:row>17</xdr:row>
      <xdr:rowOff>38101</xdr:rowOff>
    </xdr:from>
    <xdr:to>
      <xdr:col>20</xdr:col>
      <xdr:colOff>485775</xdr:colOff>
      <xdr:row>24</xdr:row>
      <xdr:rowOff>180975</xdr:rowOff>
    </xdr:to>
    <xdr:graphicFrame macro="">
      <xdr:nvGraphicFramePr>
        <xdr:cNvPr id="14" name="Chart 13">
          <a:extLst>
            <a:ext uri="{FF2B5EF4-FFF2-40B4-BE49-F238E27FC236}">
              <a16:creationId xmlns:a16="http://schemas.microsoft.com/office/drawing/2014/main" id="{D7160210-46E2-460A-BBF0-21E9CDFF9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219075</xdr:colOff>
      <xdr:row>3</xdr:row>
      <xdr:rowOff>152400</xdr:rowOff>
    </xdr:from>
    <xdr:to>
      <xdr:col>6</xdr:col>
      <xdr:colOff>504825</xdr:colOff>
      <xdr:row>5</xdr:row>
      <xdr:rowOff>76200</xdr:rowOff>
    </xdr:to>
    <xdr:sp macro="" textlink="">
      <xdr:nvSpPr>
        <xdr:cNvPr id="15" name="TextBox 14">
          <a:extLst>
            <a:ext uri="{FF2B5EF4-FFF2-40B4-BE49-F238E27FC236}">
              <a16:creationId xmlns:a16="http://schemas.microsoft.com/office/drawing/2014/main" id="{354E0A81-9F01-4E8F-BDFC-BADD6E354DDF}"/>
            </a:ext>
          </a:extLst>
        </xdr:cNvPr>
        <xdr:cNvSpPr txBox="1"/>
      </xdr:nvSpPr>
      <xdr:spPr>
        <a:xfrm>
          <a:off x="2047875" y="638175"/>
          <a:ext cx="2105025" cy="304800"/>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Total</a:t>
          </a:r>
          <a:r>
            <a:rPr lang="en-IN" sz="1600" b="1"/>
            <a:t> </a:t>
          </a:r>
          <a:r>
            <a:rPr lang="en-IN" sz="1600" b="1">
              <a:solidFill>
                <a:schemeClr val="bg1"/>
              </a:solidFill>
            </a:rPr>
            <a:t>Passengers</a:t>
          </a:r>
        </a:p>
      </xdr:txBody>
    </xdr:sp>
    <xdr:clientData/>
  </xdr:twoCellAnchor>
  <xdr:twoCellAnchor>
    <xdr:from>
      <xdr:col>7</xdr:col>
      <xdr:colOff>104775</xdr:colOff>
      <xdr:row>3</xdr:row>
      <xdr:rowOff>142874</xdr:rowOff>
    </xdr:from>
    <xdr:to>
      <xdr:col>10</xdr:col>
      <xdr:colOff>419100</xdr:colOff>
      <xdr:row>5</xdr:row>
      <xdr:rowOff>76200</xdr:rowOff>
    </xdr:to>
    <xdr:sp macro="" textlink="">
      <xdr:nvSpPr>
        <xdr:cNvPr id="16" name="TextBox 15">
          <a:extLst>
            <a:ext uri="{FF2B5EF4-FFF2-40B4-BE49-F238E27FC236}">
              <a16:creationId xmlns:a16="http://schemas.microsoft.com/office/drawing/2014/main" id="{DCA1493B-5A65-4A67-846E-B599EFCE4B67}"/>
            </a:ext>
          </a:extLst>
        </xdr:cNvPr>
        <xdr:cNvSpPr txBox="1"/>
      </xdr:nvSpPr>
      <xdr:spPr>
        <a:xfrm>
          <a:off x="4391025" y="628649"/>
          <a:ext cx="2085975" cy="314326"/>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Survival Rate(%)</a:t>
          </a:r>
        </a:p>
      </xdr:txBody>
    </xdr:sp>
    <xdr:clientData/>
  </xdr:twoCellAnchor>
  <xdr:twoCellAnchor>
    <xdr:from>
      <xdr:col>11</xdr:col>
      <xdr:colOff>114300</xdr:colOff>
      <xdr:row>3</xdr:row>
      <xdr:rowOff>152399</xdr:rowOff>
    </xdr:from>
    <xdr:to>
      <xdr:col>15</xdr:col>
      <xdr:colOff>428625</xdr:colOff>
      <xdr:row>5</xdr:row>
      <xdr:rowOff>9524</xdr:rowOff>
    </xdr:to>
    <xdr:sp macro="" textlink="">
      <xdr:nvSpPr>
        <xdr:cNvPr id="17" name="TextBox 16">
          <a:extLst>
            <a:ext uri="{FF2B5EF4-FFF2-40B4-BE49-F238E27FC236}">
              <a16:creationId xmlns:a16="http://schemas.microsoft.com/office/drawing/2014/main" id="{08455678-48AD-4B7C-B938-671DB9F0191C}"/>
            </a:ext>
          </a:extLst>
        </xdr:cNvPr>
        <xdr:cNvSpPr txBox="1"/>
      </xdr:nvSpPr>
      <xdr:spPr>
        <a:xfrm>
          <a:off x="6734175" y="638174"/>
          <a:ext cx="2705100" cy="238125"/>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Female Survival Rate(%)</a:t>
          </a:r>
        </a:p>
      </xdr:txBody>
    </xdr:sp>
    <xdr:clientData/>
  </xdr:twoCellAnchor>
  <xdr:twoCellAnchor>
    <xdr:from>
      <xdr:col>16</xdr:col>
      <xdr:colOff>57150</xdr:colOff>
      <xdr:row>3</xdr:row>
      <xdr:rowOff>142874</xdr:rowOff>
    </xdr:from>
    <xdr:to>
      <xdr:col>20</xdr:col>
      <xdr:colOff>333375</xdr:colOff>
      <xdr:row>5</xdr:row>
      <xdr:rowOff>57149</xdr:rowOff>
    </xdr:to>
    <xdr:sp macro="" textlink="">
      <xdr:nvSpPr>
        <xdr:cNvPr id="19" name="TextBox 18">
          <a:extLst>
            <a:ext uri="{FF2B5EF4-FFF2-40B4-BE49-F238E27FC236}">
              <a16:creationId xmlns:a16="http://schemas.microsoft.com/office/drawing/2014/main" id="{3F285168-747C-41AB-B127-CC53CEEE84A6}"/>
            </a:ext>
          </a:extLst>
        </xdr:cNvPr>
        <xdr:cNvSpPr txBox="1"/>
      </xdr:nvSpPr>
      <xdr:spPr>
        <a:xfrm>
          <a:off x="9677400" y="628649"/>
          <a:ext cx="2714625" cy="295275"/>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Male Survival Rate(%)</a:t>
          </a:r>
        </a:p>
      </xdr:txBody>
    </xdr:sp>
    <xdr:clientData/>
  </xdr:twoCellAnchor>
  <xdr:twoCellAnchor>
    <xdr:from>
      <xdr:col>0</xdr:col>
      <xdr:colOff>19050</xdr:colOff>
      <xdr:row>2</xdr:row>
      <xdr:rowOff>161924</xdr:rowOff>
    </xdr:from>
    <xdr:to>
      <xdr:col>2</xdr:col>
      <xdr:colOff>600075</xdr:colOff>
      <xdr:row>7</xdr:row>
      <xdr:rowOff>114300</xdr:rowOff>
    </xdr:to>
    <xdr:sp macro="[0]!ResetSlicers" textlink="">
      <xdr:nvSpPr>
        <xdr:cNvPr id="5" name="Rectangle 4">
          <a:extLst>
            <a:ext uri="{FF2B5EF4-FFF2-40B4-BE49-F238E27FC236}">
              <a16:creationId xmlns:a16="http://schemas.microsoft.com/office/drawing/2014/main" id="{675219D7-2844-4FB0-80EC-31B1ADC59AA4}"/>
            </a:ext>
          </a:extLst>
        </xdr:cNvPr>
        <xdr:cNvSpPr/>
      </xdr:nvSpPr>
      <xdr:spPr>
        <a:xfrm>
          <a:off x="19050" y="485774"/>
          <a:ext cx="1800225" cy="876301"/>
        </a:xfrm>
        <a:prstGeom prst="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HOME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100012</xdr:colOff>
      <xdr:row>0</xdr:row>
      <xdr:rowOff>0</xdr:rowOff>
    </xdr:from>
    <xdr:to>
      <xdr:col>7</xdr:col>
      <xdr:colOff>104775</xdr:colOff>
      <xdr:row>10</xdr:row>
      <xdr:rowOff>161925</xdr:rowOff>
    </xdr:to>
    <xdr:graphicFrame macro="">
      <xdr:nvGraphicFramePr>
        <xdr:cNvPr id="2" name="Chart 1">
          <a:extLst>
            <a:ext uri="{FF2B5EF4-FFF2-40B4-BE49-F238E27FC236}">
              <a16:creationId xmlns:a16="http://schemas.microsoft.com/office/drawing/2014/main" id="{AE3CEDDA-D205-467E-8BC8-2BEC623FF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57150</xdr:colOff>
      <xdr:row>0</xdr:row>
      <xdr:rowOff>85725</xdr:rowOff>
    </xdr:from>
    <xdr:to>
      <xdr:col>12</xdr:col>
      <xdr:colOff>538162</xdr:colOff>
      <xdr:row>10</xdr:row>
      <xdr:rowOff>171450</xdr:rowOff>
    </xdr:to>
    <xdr:graphicFrame macro="">
      <xdr:nvGraphicFramePr>
        <xdr:cNvPr id="3" name="Chart 2">
          <a:extLst>
            <a:ext uri="{FF2B5EF4-FFF2-40B4-BE49-F238E27FC236}">
              <a16:creationId xmlns:a16="http://schemas.microsoft.com/office/drawing/2014/main" id="{B7B63D6C-DA81-40D5-9916-4C14C49741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33337</xdr:colOff>
      <xdr:row>11</xdr:row>
      <xdr:rowOff>52387</xdr:rowOff>
    </xdr:from>
    <xdr:to>
      <xdr:col>7</xdr:col>
      <xdr:colOff>57150</xdr:colOff>
      <xdr:row>25</xdr:row>
      <xdr:rowOff>128587</xdr:rowOff>
    </xdr:to>
    <xdr:graphicFrame macro="">
      <xdr:nvGraphicFramePr>
        <xdr:cNvPr id="4" name="Chart 3">
          <a:extLst>
            <a:ext uri="{FF2B5EF4-FFF2-40B4-BE49-F238E27FC236}">
              <a16:creationId xmlns:a16="http://schemas.microsoft.com/office/drawing/2014/main" id="{CA9ED381-5BAE-41E9-B4A8-1B5231501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52387</xdr:colOff>
      <xdr:row>11</xdr:row>
      <xdr:rowOff>28574</xdr:rowOff>
    </xdr:from>
    <xdr:to>
      <xdr:col>14</xdr:col>
      <xdr:colOff>357187</xdr:colOff>
      <xdr:row>27</xdr:row>
      <xdr:rowOff>80961</xdr:rowOff>
    </xdr:to>
    <xdr:graphicFrame macro="">
      <xdr:nvGraphicFramePr>
        <xdr:cNvPr id="5" name="Chart 4">
          <a:extLst>
            <a:ext uri="{FF2B5EF4-FFF2-40B4-BE49-F238E27FC236}">
              <a16:creationId xmlns:a16="http://schemas.microsoft.com/office/drawing/2014/main" id="{9D313E0B-FA6C-4E31-9413-8A77AC1922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33337</xdr:colOff>
      <xdr:row>26</xdr:row>
      <xdr:rowOff>71437</xdr:rowOff>
    </xdr:from>
    <xdr:to>
      <xdr:col>10</xdr:col>
      <xdr:colOff>304800</xdr:colOff>
      <xdr:row>40</xdr:row>
      <xdr:rowOff>147637</xdr:rowOff>
    </xdr:to>
    <xdr:graphicFrame macro="">
      <xdr:nvGraphicFramePr>
        <xdr:cNvPr id="6" name="Chart 5">
          <a:extLst>
            <a:ext uri="{FF2B5EF4-FFF2-40B4-BE49-F238E27FC236}">
              <a16:creationId xmlns:a16="http://schemas.microsoft.com/office/drawing/2014/main" id="{37F89DF3-06B9-42C7-8327-6A7B11E969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100012</xdr:colOff>
      <xdr:row>27</xdr:row>
      <xdr:rowOff>90487</xdr:rowOff>
    </xdr:from>
    <xdr:to>
      <xdr:col>15</xdr:col>
      <xdr:colOff>404812</xdr:colOff>
      <xdr:row>41</xdr:row>
      <xdr:rowOff>166687</xdr:rowOff>
    </xdr:to>
    <xdr:graphicFrame macro="">
      <xdr:nvGraphicFramePr>
        <xdr:cNvPr id="7" name="Chart 6">
          <a:extLst>
            <a:ext uri="{FF2B5EF4-FFF2-40B4-BE49-F238E27FC236}">
              <a16:creationId xmlns:a16="http://schemas.microsoft.com/office/drawing/2014/main" id="{2CDCCA15-F565-4D66-8D6B-F50F8496B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842962</xdr:colOff>
      <xdr:row>41</xdr:row>
      <xdr:rowOff>176212</xdr:rowOff>
    </xdr:from>
    <xdr:to>
      <xdr:col>8</xdr:col>
      <xdr:colOff>85725</xdr:colOff>
      <xdr:row>56</xdr:row>
      <xdr:rowOff>61912</xdr:rowOff>
    </xdr:to>
    <xdr:graphicFrame macro="">
      <xdr:nvGraphicFramePr>
        <xdr:cNvPr id="8" name="Chart 7">
          <a:extLst>
            <a:ext uri="{FF2B5EF4-FFF2-40B4-BE49-F238E27FC236}">
              <a16:creationId xmlns:a16="http://schemas.microsoft.com/office/drawing/2014/main" id="{7F1DC1A3-92F7-4850-A29E-2103C5543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90487</xdr:colOff>
      <xdr:row>41</xdr:row>
      <xdr:rowOff>166687</xdr:rowOff>
    </xdr:from>
    <xdr:to>
      <xdr:col>15</xdr:col>
      <xdr:colOff>419100</xdr:colOff>
      <xdr:row>56</xdr:row>
      <xdr:rowOff>52387</xdr:rowOff>
    </xdr:to>
    <xdr:graphicFrame macro="">
      <xdr:nvGraphicFramePr>
        <xdr:cNvPr id="9" name="Chart 8">
          <a:extLst>
            <a:ext uri="{FF2B5EF4-FFF2-40B4-BE49-F238E27FC236}">
              <a16:creationId xmlns:a16="http://schemas.microsoft.com/office/drawing/2014/main" id="{4F62BCF7-D25D-4F82-8296-527F191A03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104775</xdr:colOff>
      <xdr:row>56</xdr:row>
      <xdr:rowOff>85725</xdr:rowOff>
    </xdr:from>
    <xdr:to>
      <xdr:col>14</xdr:col>
      <xdr:colOff>104775</xdr:colOff>
      <xdr:row>61</xdr:row>
      <xdr:rowOff>66674</xdr:rowOff>
    </xdr:to>
    <mc:AlternateContent xmlns:mc="http://schemas.openxmlformats.org/markup-compatibility/2006" xmlns:a14="http://schemas.microsoft.com/office/drawing/2010/main">
      <mc:Choice Requires="a14">
        <xdr:graphicFrame macro="">
          <xdr:nvGraphicFramePr>
            <xdr:cNvPr id="10" name="Survival Status">
              <a:extLst>
                <a:ext uri="{FF2B5EF4-FFF2-40B4-BE49-F238E27FC236}">
                  <a16:creationId xmlns:a16="http://schemas.microsoft.com/office/drawing/2014/main" id="{2D37E2E7-AD46-4DA2-8EEC-8707DD256552}"/>
                </a:ext>
              </a:extLst>
            </xdr:cNvPr>
            <xdr:cNvGraphicFramePr/>
          </xdr:nvGraphicFramePr>
          <xdr:xfrm>
            <a:off x="0" y="0"/>
            <a:ext cx="0" cy="0"/>
          </xdr:xfrm>
          <a:graphic>
            <a:graphicData uri="http://schemas.microsoft.com/office/drawing/2010/slicer">
              <sle:slicer xmlns:sle="http://schemas.microsoft.com/office/drawing/2010/slicer" name="Survival Status"/>
            </a:graphicData>
          </a:graphic>
        </xdr:graphicFrame>
      </mc:Choice>
      <mc:Fallback xmlns="">
        <xdr:sp macro="" textlink="">
          <xdr:nvSpPr>
            <xdr:cNvPr id="0" name=""/>
            <xdr:cNvSpPr>
              <a:spLocks noTextEdit="1"/>
            </xdr:cNvSpPr>
          </xdr:nvSpPr>
          <xdr:spPr>
            <a:xfrm>
              <a:off x="7543800" y="10753725"/>
              <a:ext cx="1828800" cy="933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381000</xdr:colOff>
      <xdr:row>56</xdr:row>
      <xdr:rowOff>76201</xdr:rowOff>
    </xdr:from>
    <xdr:to>
      <xdr:col>7</xdr:col>
      <xdr:colOff>381000</xdr:colOff>
      <xdr:row>62</xdr:row>
      <xdr:rowOff>123825</xdr:rowOff>
    </xdr:to>
    <mc:AlternateContent xmlns:mc="http://schemas.openxmlformats.org/markup-compatibility/2006" xmlns:a14="http://schemas.microsoft.com/office/drawing/2010/main">
      <mc:Choice Requires="a14">
        <xdr:graphicFrame macro="">
          <xdr:nvGraphicFramePr>
            <xdr:cNvPr id="11" name="Pclass">
              <a:extLst>
                <a:ext uri="{FF2B5EF4-FFF2-40B4-BE49-F238E27FC236}">
                  <a16:creationId xmlns:a16="http://schemas.microsoft.com/office/drawing/2014/main" id="{1784AA56-8CBA-40D6-BE16-3D2AC0039FCC}"/>
                </a:ext>
              </a:extLst>
            </xdr:cNvPr>
            <xdr:cNvGraphicFramePr/>
          </xdr:nvGraphicFramePr>
          <xdr:xfrm>
            <a:off x="0" y="0"/>
            <a:ext cx="0" cy="0"/>
          </xdr:xfrm>
          <a:graphic>
            <a:graphicData uri="http://schemas.microsoft.com/office/drawing/2010/slicer">
              <sle:slicer xmlns:sle="http://schemas.microsoft.com/office/drawing/2010/slicer" name="Pclass"/>
            </a:graphicData>
          </a:graphic>
        </xdr:graphicFrame>
      </mc:Choice>
      <mc:Fallback xmlns="">
        <xdr:sp macro="" textlink="">
          <xdr:nvSpPr>
            <xdr:cNvPr id="0" name=""/>
            <xdr:cNvSpPr>
              <a:spLocks noTextEdit="1"/>
            </xdr:cNvSpPr>
          </xdr:nvSpPr>
          <xdr:spPr>
            <a:xfrm>
              <a:off x="3552825" y="10744201"/>
              <a:ext cx="1828800" cy="1190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828675</xdr:colOff>
      <xdr:row>56</xdr:row>
      <xdr:rowOff>85726</xdr:rowOff>
    </xdr:from>
    <xdr:to>
      <xdr:col>3</xdr:col>
      <xdr:colOff>152400</xdr:colOff>
      <xdr:row>61</xdr:row>
      <xdr:rowOff>47626</xdr:rowOff>
    </xdr:to>
    <mc:AlternateContent xmlns:mc="http://schemas.openxmlformats.org/markup-compatibility/2006" xmlns:a14="http://schemas.microsoft.com/office/drawing/2010/main">
      <mc:Choice Requires="a14">
        <xdr:graphicFrame macro="">
          <xdr:nvGraphicFramePr>
            <xdr:cNvPr id="12" name="Sex">
              <a:extLst>
                <a:ext uri="{FF2B5EF4-FFF2-40B4-BE49-F238E27FC236}">
                  <a16:creationId xmlns:a16="http://schemas.microsoft.com/office/drawing/2014/main" id="{C1512E32-3BDB-4C5E-8893-2FB31886BB0F}"/>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704975" y="10753726"/>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466725</xdr:colOff>
      <xdr:row>56</xdr:row>
      <xdr:rowOff>57150</xdr:rowOff>
    </xdr:from>
    <xdr:to>
      <xdr:col>10</xdr:col>
      <xdr:colOff>466725</xdr:colOff>
      <xdr:row>62</xdr:row>
      <xdr:rowOff>85725</xdr:rowOff>
    </xdr:to>
    <mc:AlternateContent xmlns:mc="http://schemas.openxmlformats.org/markup-compatibility/2006" xmlns:a14="http://schemas.microsoft.com/office/drawing/2010/main">
      <mc:Choice Requires="a14">
        <xdr:graphicFrame macro="">
          <xdr:nvGraphicFramePr>
            <xdr:cNvPr id="13" name="Embarked">
              <a:extLst>
                <a:ext uri="{FF2B5EF4-FFF2-40B4-BE49-F238E27FC236}">
                  <a16:creationId xmlns:a16="http://schemas.microsoft.com/office/drawing/2014/main" id="{4A70193E-22D9-4EDE-A7DB-AC426BF04A47}"/>
                </a:ext>
              </a:extLst>
            </xdr:cNvPr>
            <xdr:cNvGraphicFramePr/>
          </xdr:nvGraphicFramePr>
          <xdr:xfrm>
            <a:off x="0" y="0"/>
            <a:ext cx="0" cy="0"/>
          </xdr:xfrm>
          <a:graphic>
            <a:graphicData uri="http://schemas.microsoft.com/office/drawing/2010/slicer">
              <sle:slicer xmlns:sle="http://schemas.microsoft.com/office/drawing/2010/slicer" name="Embarked"/>
            </a:graphicData>
          </a:graphic>
        </xdr:graphicFrame>
      </mc:Choice>
      <mc:Fallback xmlns="">
        <xdr:sp macro="" textlink="">
          <xdr:nvSpPr>
            <xdr:cNvPr id="0" name=""/>
            <xdr:cNvSpPr>
              <a:spLocks noTextEdit="1"/>
            </xdr:cNvSpPr>
          </xdr:nvSpPr>
          <xdr:spPr>
            <a:xfrm>
              <a:off x="5467350" y="10725150"/>
              <a:ext cx="1828800"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park" refreshedDate="46057.811346180555" createdVersion="6" refreshedVersion="6" minRefreshableVersion="3" recordCount="32" xr:uid="{D82CA27D-F2A1-4608-8AAE-2956E571CCCB}">
  <cacheSource type="worksheet">
    <worksheetSource name="Table1"/>
  </cacheSource>
  <cacheFields count="19">
    <cacheField name="Passenger Id" numFmtId="0">
      <sharedItems containsSemiMixedTypes="0" containsString="0" containsNumber="1" containsInteger="1" minValue="1" maxValue="32"/>
    </cacheField>
    <cacheField name="Survived" numFmtId="0">
      <sharedItems containsSemiMixedTypes="0" containsString="0" containsNumber="1" containsInteger="1" minValue="0" maxValue="1"/>
    </cacheField>
    <cacheField name="Survival Status" numFmtId="0">
      <sharedItems count="4">
        <s v="Not Survived"/>
        <s v="Survived"/>
        <s v="No" u="1"/>
        <s v="Yes" u="1"/>
      </sharedItems>
    </cacheField>
    <cacheField name="Pclass" numFmtId="0">
      <sharedItems containsSemiMixedTypes="0" containsString="0" containsNumber="1" containsInteger="1" minValue="1" maxValue="3" count="3">
        <n v="3"/>
        <n v="1"/>
        <n v="2"/>
      </sharedItems>
    </cacheField>
    <cacheField name="Title" numFmtId="0">
      <sharedItems/>
    </cacheField>
    <cacheField name="First Name" numFmtId="0">
      <sharedItems/>
    </cacheField>
    <cacheField name="Middle Name" numFmtId="0">
      <sharedItems containsBlank="1"/>
    </cacheField>
    <cacheField name="Last Name" numFmtId="0">
      <sharedItems/>
    </cacheField>
    <cacheField name="Sex" numFmtId="0">
      <sharedItems count="2">
        <s v="Male"/>
        <s v="Female"/>
      </sharedItems>
    </cacheField>
    <cacheField name="Age" numFmtId="0">
      <sharedItems containsSemiMixedTypes="0" containsString="0" containsNumber="1" containsInteger="1" minValue="2" maxValue="58"/>
    </cacheField>
    <cacheField name="Age Group" numFmtId="0">
      <sharedItems count="4">
        <s v="Adult"/>
        <s v="Senior"/>
        <s v="Child"/>
        <s v="Teen"/>
      </sharedItems>
    </cacheField>
    <cacheField name="SibSp" numFmtId="0">
      <sharedItems containsSemiMixedTypes="0" containsString="0" containsNumber="1" containsInteger="1" minValue="0" maxValue="4"/>
    </cacheField>
    <cacheField name="Parch" numFmtId="0">
      <sharedItems containsSemiMixedTypes="0" containsString="0" containsNumber="1" containsInteger="1" minValue="0" maxValue="5"/>
    </cacheField>
    <cacheField name="Family Size" numFmtId="0">
      <sharedItems containsSemiMixedTypes="0" containsString="0" containsNumber="1" containsInteger="1" minValue="1" maxValue="7" count="6">
        <n v="2"/>
        <n v="1"/>
        <n v="5"/>
        <n v="3"/>
        <n v="7"/>
        <n v="6"/>
      </sharedItems>
    </cacheField>
    <cacheField name="Is Alone" numFmtId="0">
      <sharedItems count="6">
        <s v="With Family"/>
        <s v="Alone"/>
        <b v="0" u="1"/>
        <b v="1" u="1"/>
        <s v="No" u="1"/>
        <s v="Yes" u="1"/>
      </sharedItems>
    </cacheField>
    <cacheField name="Ticket" numFmtId="0">
      <sharedItems containsSemiMixedTypes="0" containsString="0" containsNumber="1" containsInteger="1" minValue="2631" maxValue="23101282"/>
    </cacheField>
    <cacheField name="Fare" numFmtId="0">
      <sharedItems containsSemiMixedTypes="0" containsString="0" containsNumber="1" minValue="7.22" maxValue="263"/>
    </cacheField>
    <cacheField name="Fare Group" numFmtId="0">
      <sharedItems count="3">
        <s v="Low Fare"/>
        <s v="High Fare"/>
        <s v="Medium Fare"/>
      </sharedItems>
    </cacheField>
    <cacheField name="Embarked" numFmtId="0">
      <sharedItems count="3">
        <s v="S"/>
        <s v="C"/>
        <s v="Q"/>
      </sharedItems>
    </cacheField>
  </cacheFields>
  <extLst>
    <ext xmlns:x14="http://schemas.microsoft.com/office/spreadsheetml/2009/9/main" uri="{725AE2AE-9491-48be-B2B4-4EB974FC3084}">
      <x14:pivotCacheDefinition pivotCacheId="8470561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n v="1"/>
    <n v="0"/>
    <x v="0"/>
    <x v="0"/>
    <s v="Mr"/>
    <s v="Owen"/>
    <s v="Harris"/>
    <s v="Braund"/>
    <x v="0"/>
    <n v="22"/>
    <x v="0"/>
    <n v="1"/>
    <n v="0"/>
    <x v="0"/>
    <x v="0"/>
    <n v="521171"/>
    <n v="7.25"/>
    <x v="0"/>
    <x v="0"/>
  </r>
  <r>
    <n v="2"/>
    <n v="1"/>
    <x v="1"/>
    <x v="1"/>
    <s v="Mrs"/>
    <s v="John"/>
    <s v="Bradley Florence Briggs Thayer"/>
    <s v="Cumings"/>
    <x v="1"/>
    <n v="38"/>
    <x v="0"/>
    <n v="1"/>
    <n v="0"/>
    <x v="0"/>
    <x v="0"/>
    <n v="17599"/>
    <n v="71.28"/>
    <x v="1"/>
    <x v="1"/>
  </r>
  <r>
    <n v="3"/>
    <n v="1"/>
    <x v="1"/>
    <x v="0"/>
    <s v="Miss"/>
    <s v="Laina"/>
    <m/>
    <s v="Heikkinen"/>
    <x v="1"/>
    <n v="26"/>
    <x v="0"/>
    <n v="0"/>
    <n v="0"/>
    <x v="1"/>
    <x v="1"/>
    <n v="23101282"/>
    <n v="7.92"/>
    <x v="0"/>
    <x v="0"/>
  </r>
  <r>
    <n v="4"/>
    <n v="1"/>
    <x v="1"/>
    <x v="1"/>
    <s v="Mrs"/>
    <s v="Jacques"/>
    <s v="Heath Lily May Peel"/>
    <s v="Futrelle"/>
    <x v="1"/>
    <n v="35"/>
    <x v="0"/>
    <n v="1"/>
    <n v="0"/>
    <x v="0"/>
    <x v="0"/>
    <n v="113803"/>
    <n v="53.1"/>
    <x v="1"/>
    <x v="0"/>
  </r>
  <r>
    <n v="5"/>
    <n v="0"/>
    <x v="0"/>
    <x v="0"/>
    <s v="Mr"/>
    <s v="William"/>
    <s v="Henry"/>
    <s v="Allen"/>
    <x v="0"/>
    <n v="35"/>
    <x v="0"/>
    <n v="0"/>
    <n v="0"/>
    <x v="1"/>
    <x v="1"/>
    <n v="373450"/>
    <n v="8.0500000000000007"/>
    <x v="0"/>
    <x v="0"/>
  </r>
  <r>
    <n v="6"/>
    <n v="0"/>
    <x v="0"/>
    <x v="0"/>
    <s v="Mr"/>
    <s v="James"/>
    <m/>
    <s v="Moran"/>
    <x v="0"/>
    <n v="28"/>
    <x v="0"/>
    <n v="0"/>
    <n v="0"/>
    <x v="1"/>
    <x v="1"/>
    <n v="330877"/>
    <n v="8.4600000000000009"/>
    <x v="0"/>
    <x v="2"/>
  </r>
  <r>
    <n v="7"/>
    <n v="0"/>
    <x v="0"/>
    <x v="1"/>
    <s v="Mr"/>
    <s v="Timothy"/>
    <s v="J"/>
    <s v="McCarthy"/>
    <x v="0"/>
    <n v="54"/>
    <x v="1"/>
    <n v="0"/>
    <n v="0"/>
    <x v="1"/>
    <x v="1"/>
    <n v="17463"/>
    <n v="51.86"/>
    <x v="1"/>
    <x v="0"/>
  </r>
  <r>
    <n v="8"/>
    <n v="0"/>
    <x v="0"/>
    <x v="0"/>
    <s v="Master"/>
    <s v="Gosta"/>
    <s v="Leonard"/>
    <s v="Palsson"/>
    <x v="0"/>
    <n v="2"/>
    <x v="2"/>
    <n v="3"/>
    <n v="1"/>
    <x v="2"/>
    <x v="0"/>
    <n v="349909"/>
    <n v="21.08"/>
    <x v="2"/>
    <x v="0"/>
  </r>
  <r>
    <n v="9"/>
    <n v="1"/>
    <x v="1"/>
    <x v="0"/>
    <s v="Mrs"/>
    <s v="Oscar"/>
    <s v="W Elisabeth Vilhelmina Berg"/>
    <s v="Johnson"/>
    <x v="1"/>
    <n v="27"/>
    <x v="0"/>
    <n v="0"/>
    <n v="2"/>
    <x v="3"/>
    <x v="0"/>
    <n v="347742"/>
    <n v="11.13"/>
    <x v="0"/>
    <x v="0"/>
  </r>
  <r>
    <n v="10"/>
    <n v="1"/>
    <x v="1"/>
    <x v="2"/>
    <s v="Mrs"/>
    <s v="Nicholas"/>
    <s v="Adele Achem"/>
    <s v="Nasser"/>
    <x v="1"/>
    <n v="14"/>
    <x v="3"/>
    <n v="1"/>
    <n v="0"/>
    <x v="0"/>
    <x v="0"/>
    <n v="237736"/>
    <n v="30.07"/>
    <x v="2"/>
    <x v="1"/>
  </r>
  <r>
    <n v="11"/>
    <n v="1"/>
    <x v="1"/>
    <x v="0"/>
    <s v="Miss"/>
    <s v="Marguerite"/>
    <s v="Rut"/>
    <s v="Sandstrom"/>
    <x v="1"/>
    <n v="4"/>
    <x v="2"/>
    <n v="1"/>
    <n v="1"/>
    <x v="3"/>
    <x v="0"/>
    <n v="9549"/>
    <n v="16.7"/>
    <x v="0"/>
    <x v="0"/>
  </r>
  <r>
    <n v="12"/>
    <n v="1"/>
    <x v="1"/>
    <x v="1"/>
    <s v="Miss"/>
    <s v="Elizabeth"/>
    <m/>
    <s v="Bonnell"/>
    <x v="1"/>
    <n v="58"/>
    <x v="1"/>
    <n v="0"/>
    <n v="0"/>
    <x v="1"/>
    <x v="1"/>
    <n v="113783"/>
    <n v="26.55"/>
    <x v="2"/>
    <x v="0"/>
  </r>
  <r>
    <n v="13"/>
    <n v="0"/>
    <x v="0"/>
    <x v="0"/>
    <s v="Mr"/>
    <s v="William"/>
    <s v="Henry"/>
    <s v="Saundercock"/>
    <x v="0"/>
    <n v="20"/>
    <x v="0"/>
    <n v="0"/>
    <n v="0"/>
    <x v="1"/>
    <x v="1"/>
    <n v="52151"/>
    <n v="8.0500000000000007"/>
    <x v="0"/>
    <x v="0"/>
  </r>
  <r>
    <n v="14"/>
    <n v="0"/>
    <x v="0"/>
    <x v="0"/>
    <s v="Mr"/>
    <s v="Anders"/>
    <s v="Johan"/>
    <s v="Andersson"/>
    <x v="0"/>
    <n v="39"/>
    <x v="0"/>
    <n v="1"/>
    <n v="5"/>
    <x v="4"/>
    <x v="0"/>
    <n v="347082"/>
    <n v="31.28"/>
    <x v="2"/>
    <x v="0"/>
  </r>
  <r>
    <n v="15"/>
    <n v="1"/>
    <x v="1"/>
    <x v="0"/>
    <s v="Miss"/>
    <s v="Anna"/>
    <m/>
    <s v="McGowan"/>
    <x v="1"/>
    <n v="15"/>
    <x v="3"/>
    <n v="0"/>
    <n v="0"/>
    <x v="1"/>
    <x v="1"/>
    <n v="330923"/>
    <n v="8.0299999999999994"/>
    <x v="0"/>
    <x v="2"/>
  </r>
  <r>
    <n v="16"/>
    <n v="1"/>
    <x v="1"/>
    <x v="2"/>
    <s v="Mrs"/>
    <s v="Mary"/>
    <s v="D Kingcome"/>
    <s v="Hewlett"/>
    <x v="1"/>
    <n v="55"/>
    <x v="1"/>
    <n v="0"/>
    <n v="0"/>
    <x v="1"/>
    <x v="1"/>
    <n v="248706"/>
    <n v="16"/>
    <x v="0"/>
    <x v="0"/>
  </r>
  <r>
    <n v="17"/>
    <n v="0"/>
    <x v="0"/>
    <x v="0"/>
    <s v="Master"/>
    <s v="Eugene"/>
    <m/>
    <s v="Rice"/>
    <x v="0"/>
    <n v="2"/>
    <x v="2"/>
    <n v="4"/>
    <n v="1"/>
    <x v="5"/>
    <x v="0"/>
    <n v="382652"/>
    <n v="29.12"/>
    <x v="2"/>
    <x v="2"/>
  </r>
  <r>
    <n v="18"/>
    <n v="1"/>
    <x v="1"/>
    <x v="2"/>
    <s v="Mr"/>
    <s v="Charles"/>
    <s v="Eugene"/>
    <s v="Williams"/>
    <x v="0"/>
    <n v="28"/>
    <x v="0"/>
    <n v="0"/>
    <n v="0"/>
    <x v="1"/>
    <x v="1"/>
    <n v="244373"/>
    <n v="13"/>
    <x v="0"/>
    <x v="0"/>
  </r>
  <r>
    <n v="19"/>
    <n v="0"/>
    <x v="0"/>
    <x v="0"/>
    <s v="Mrs"/>
    <s v="Julius"/>
    <s v="Emelia Maria Vandemoortele"/>
    <s v="Vander Planke"/>
    <x v="1"/>
    <n v="31"/>
    <x v="0"/>
    <n v="1"/>
    <n v="0"/>
    <x v="0"/>
    <x v="0"/>
    <n v="345763"/>
    <n v="18"/>
    <x v="0"/>
    <x v="0"/>
  </r>
  <r>
    <n v="20"/>
    <n v="1"/>
    <x v="1"/>
    <x v="0"/>
    <s v="Mrs"/>
    <s v="Fatima"/>
    <m/>
    <s v="Masselmani"/>
    <x v="1"/>
    <n v="28"/>
    <x v="0"/>
    <n v="0"/>
    <n v="0"/>
    <x v="1"/>
    <x v="1"/>
    <n v="2649"/>
    <n v="7.22"/>
    <x v="0"/>
    <x v="1"/>
  </r>
  <r>
    <n v="21"/>
    <n v="0"/>
    <x v="0"/>
    <x v="2"/>
    <s v="Mr"/>
    <s v="Joseph"/>
    <s v="J"/>
    <s v="Fynney"/>
    <x v="0"/>
    <n v="35"/>
    <x v="0"/>
    <n v="0"/>
    <n v="0"/>
    <x v="1"/>
    <x v="1"/>
    <n v="239865"/>
    <n v="26"/>
    <x v="2"/>
    <x v="0"/>
  </r>
  <r>
    <n v="22"/>
    <n v="1"/>
    <x v="1"/>
    <x v="2"/>
    <s v="Mr"/>
    <s v="Lawrence"/>
    <m/>
    <s v="Beesley"/>
    <x v="0"/>
    <n v="34"/>
    <x v="0"/>
    <n v="0"/>
    <n v="0"/>
    <x v="1"/>
    <x v="1"/>
    <n v="248698"/>
    <n v="13"/>
    <x v="0"/>
    <x v="0"/>
  </r>
  <r>
    <n v="23"/>
    <n v="1"/>
    <x v="1"/>
    <x v="0"/>
    <s v="Miss"/>
    <s v="Anna"/>
    <s v="Annie"/>
    <s v="McGowan"/>
    <x v="1"/>
    <n v="15"/>
    <x v="3"/>
    <n v="0"/>
    <n v="0"/>
    <x v="1"/>
    <x v="1"/>
    <n v="330923"/>
    <n v="8.0299999999999994"/>
    <x v="0"/>
    <x v="2"/>
  </r>
  <r>
    <n v="24"/>
    <n v="1"/>
    <x v="1"/>
    <x v="1"/>
    <s v="Mr"/>
    <s v="William"/>
    <s v="Thompson"/>
    <s v="Sloper"/>
    <x v="0"/>
    <n v="28"/>
    <x v="0"/>
    <n v="0"/>
    <n v="0"/>
    <x v="1"/>
    <x v="1"/>
    <n v="113788"/>
    <n v="35.5"/>
    <x v="2"/>
    <x v="0"/>
  </r>
  <r>
    <n v="25"/>
    <n v="0"/>
    <x v="0"/>
    <x v="0"/>
    <s v="Miss"/>
    <s v="Torborg"/>
    <s v="Danira"/>
    <s v="Palsson"/>
    <x v="1"/>
    <n v="8"/>
    <x v="2"/>
    <n v="3"/>
    <n v="1"/>
    <x v="2"/>
    <x v="0"/>
    <n v="349909"/>
    <n v="21.08"/>
    <x v="2"/>
    <x v="0"/>
  </r>
  <r>
    <n v="26"/>
    <n v="1"/>
    <x v="1"/>
    <x v="0"/>
    <s v="Mrs"/>
    <s v="Carl"/>
    <s v="Oscar Selma Augusta Emilia Johansson"/>
    <s v="Asplund"/>
    <x v="1"/>
    <n v="38"/>
    <x v="0"/>
    <n v="1"/>
    <n v="5"/>
    <x v="4"/>
    <x v="0"/>
    <n v="347077"/>
    <n v="31.39"/>
    <x v="2"/>
    <x v="0"/>
  </r>
  <r>
    <n v="27"/>
    <n v="0"/>
    <x v="0"/>
    <x v="0"/>
    <s v="Mr"/>
    <s v="Farred"/>
    <s v="Chehab"/>
    <s v="Emir"/>
    <x v="0"/>
    <n v="28"/>
    <x v="0"/>
    <n v="0"/>
    <n v="0"/>
    <x v="1"/>
    <x v="1"/>
    <n v="2631"/>
    <n v="7.22"/>
    <x v="0"/>
    <x v="1"/>
  </r>
  <r>
    <n v="28"/>
    <n v="0"/>
    <x v="0"/>
    <x v="1"/>
    <s v="Mr"/>
    <s v="Charles"/>
    <s v="Alexander"/>
    <s v="Fortune"/>
    <x v="0"/>
    <n v="19"/>
    <x v="3"/>
    <n v="3"/>
    <n v="2"/>
    <x v="5"/>
    <x v="0"/>
    <n v="19950"/>
    <n v="263"/>
    <x v="1"/>
    <x v="0"/>
  </r>
  <r>
    <n v="29"/>
    <n v="1"/>
    <x v="1"/>
    <x v="0"/>
    <s v="Miss"/>
    <s v="Ellen"/>
    <s v="Nellie"/>
    <s v="O'Dwyer"/>
    <x v="1"/>
    <n v="28"/>
    <x v="0"/>
    <n v="0"/>
    <n v="0"/>
    <x v="1"/>
    <x v="1"/>
    <n v="330959"/>
    <n v="7.88"/>
    <x v="0"/>
    <x v="2"/>
  </r>
  <r>
    <n v="30"/>
    <n v="0"/>
    <x v="0"/>
    <x v="0"/>
    <s v="Mr"/>
    <s v="Lalio"/>
    <m/>
    <s v="Todoroff"/>
    <x v="0"/>
    <n v="28"/>
    <x v="0"/>
    <n v="0"/>
    <n v="0"/>
    <x v="1"/>
    <x v="1"/>
    <n v="349216"/>
    <n v="7.9"/>
    <x v="0"/>
    <x v="0"/>
  </r>
  <r>
    <n v="31"/>
    <n v="0"/>
    <x v="0"/>
    <x v="1"/>
    <s v="Don"/>
    <s v="Manuel"/>
    <s v="E"/>
    <s v="Uruchurtu"/>
    <x v="0"/>
    <n v="40"/>
    <x v="1"/>
    <n v="0"/>
    <n v="0"/>
    <x v="1"/>
    <x v="1"/>
    <n v="17601"/>
    <n v="27.72"/>
    <x v="2"/>
    <x v="1"/>
  </r>
  <r>
    <n v="32"/>
    <n v="1"/>
    <x v="1"/>
    <x v="1"/>
    <s v="Mrs"/>
    <s v="William"/>
    <s v="Augustus Marie Eugenie"/>
    <s v="Spencer"/>
    <x v="1"/>
    <n v="28"/>
    <x v="0"/>
    <n v="1"/>
    <n v="0"/>
    <x v="0"/>
    <x v="0"/>
    <n v="17569"/>
    <n v="146.5200000000000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718E5D-A0D9-49D2-9740-D9214FC88A38}" name="PivotTable9"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44:B51" firstHeaderRow="1" firstDataRow="1" firstDataCol="1"/>
  <pivotFields count="19">
    <pivotField showAll="0"/>
    <pivotField dataField="1" showAll="0"/>
    <pivotField showAll="0">
      <items count="5">
        <item m="1" x="2"/>
        <item x="0"/>
        <item x="1"/>
        <item m="1" x="3"/>
        <item t="default"/>
      </items>
    </pivotField>
    <pivotField showAll="0">
      <items count="4">
        <item x="1"/>
        <item x="2"/>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axis="axisRow" showAll="0">
      <items count="7">
        <item x="1"/>
        <item x="0"/>
        <item x="3"/>
        <item x="2"/>
        <item x="5"/>
        <item x="4"/>
        <item t="default"/>
      </items>
    </pivotField>
    <pivotField showAll="0"/>
    <pivotField showAll="0"/>
    <pivotField showAll="0"/>
    <pivotField showAll="0"/>
    <pivotField showAll="0">
      <items count="4">
        <item x="1"/>
        <item x="2"/>
        <item x="0"/>
        <item t="default"/>
      </items>
    </pivotField>
  </pivotFields>
  <rowFields count="1">
    <field x="13"/>
  </rowFields>
  <rowItems count="7">
    <i>
      <x/>
    </i>
    <i>
      <x v="1"/>
    </i>
    <i>
      <x v="2"/>
    </i>
    <i>
      <x v="3"/>
    </i>
    <i>
      <x v="4"/>
    </i>
    <i>
      <x v="5"/>
    </i>
    <i t="grand">
      <x/>
    </i>
  </rowItems>
  <colItems count="1">
    <i/>
  </colItems>
  <dataFields count="1">
    <dataField name="Average of Survived" fld="1" subtotal="average" baseField="13" baseItem="0" numFmtId="9"/>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61B58A-EA9D-4FE5-A0DD-FE3F25BFBEB7}" name="PivotTable8"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9:B42" firstHeaderRow="1" firstDataRow="1" firstDataCol="1"/>
  <pivotFields count="19">
    <pivotField dataField="1" showAll="0"/>
    <pivotField showAll="0"/>
    <pivotField showAll="0">
      <items count="5">
        <item m="1" x="2"/>
        <item x="0"/>
        <item x="1"/>
        <item m="1" x="3"/>
        <item t="default"/>
      </items>
    </pivotField>
    <pivotField showAll="0">
      <items count="4">
        <item x="1"/>
        <item x="2"/>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axis="axisRow" showAll="0">
      <items count="7">
        <item m="1" x="2"/>
        <item m="1" x="3"/>
        <item m="1" x="4"/>
        <item m="1" x="5"/>
        <item x="1"/>
        <item x="0"/>
        <item t="default"/>
      </items>
    </pivotField>
    <pivotField showAll="0"/>
    <pivotField showAll="0"/>
    <pivotField showAll="0"/>
    <pivotField showAll="0">
      <items count="4">
        <item x="1"/>
        <item x="2"/>
        <item x="0"/>
        <item t="default"/>
      </items>
    </pivotField>
  </pivotFields>
  <rowFields count="1">
    <field x="14"/>
  </rowFields>
  <rowItems count="3">
    <i>
      <x v="4"/>
    </i>
    <i>
      <x v="5"/>
    </i>
    <i t="grand">
      <x/>
    </i>
  </rowItems>
  <colItems count="1">
    <i/>
  </colItems>
  <dataFields count="1">
    <dataField name="Count of Passenger Id" fld="0" subtotal="count" baseField="14" baseItem="0"/>
  </dataFields>
  <chartFormats count="10">
    <chartFormat chart="3" format="2"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4" count="1" selected="0">
            <x v="0"/>
          </reference>
        </references>
      </pivotArea>
    </chartFormat>
    <chartFormat chart="7" format="14">
      <pivotArea type="data" outline="0" fieldPosition="0">
        <references count="2">
          <reference field="4294967294" count="1" selected="0">
            <x v="0"/>
          </reference>
          <reference field="14" count="1" selected="0">
            <x v="1"/>
          </reference>
        </references>
      </pivotArea>
    </chartFormat>
    <chartFormat chart="3" format="3">
      <pivotArea type="data" outline="0" fieldPosition="0">
        <references count="2">
          <reference field="4294967294" count="1" selected="0">
            <x v="0"/>
          </reference>
          <reference field="14" count="1" selected="0">
            <x v="0"/>
          </reference>
        </references>
      </pivotArea>
    </chartFormat>
    <chartFormat chart="3" format="4">
      <pivotArea type="data" outline="0" fieldPosition="0">
        <references count="2">
          <reference field="4294967294" count="1" selected="0">
            <x v="0"/>
          </reference>
          <reference field="14" count="1" selected="0">
            <x v="1"/>
          </reference>
        </references>
      </pivotArea>
    </chartFormat>
    <chartFormat chart="7" format="15">
      <pivotArea type="data" outline="0" fieldPosition="0">
        <references count="2">
          <reference field="4294967294" count="1" selected="0">
            <x v="0"/>
          </reference>
          <reference field="14" count="1" selected="0">
            <x v="5"/>
          </reference>
        </references>
      </pivotArea>
    </chartFormat>
    <chartFormat chart="7" format="16">
      <pivotArea type="data" outline="0" fieldPosition="0">
        <references count="2">
          <reference field="4294967294" count="1" selected="0">
            <x v="0"/>
          </reference>
          <reference field="14" count="1" selected="0">
            <x v="4"/>
          </reference>
        </references>
      </pivotArea>
    </chartFormat>
    <chartFormat chart="3" format="5">
      <pivotArea type="data" outline="0" fieldPosition="0">
        <references count="2">
          <reference field="4294967294" count="1" selected="0">
            <x v="0"/>
          </reference>
          <reference field="14" count="1" selected="0">
            <x v="5"/>
          </reference>
        </references>
      </pivotArea>
    </chartFormat>
    <chartFormat chart="3" format="6">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E2F4A0-45F0-4ADF-80E6-E77F36F5F139}" name="PivotTable5"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19:D24" firstHeaderRow="1" firstDataRow="2" firstDataCol="1"/>
  <pivotFields count="19">
    <pivotField dataField="1" showAll="0"/>
    <pivotField showAll="0"/>
    <pivotField axis="axisCol" showAll="0">
      <items count="5">
        <item m="1" x="2"/>
        <item m="1" x="3"/>
        <item x="0"/>
        <item x="1"/>
        <item t="default"/>
      </items>
    </pivotField>
    <pivotField axis="axisRow" showAll="0">
      <items count="4">
        <item x="1"/>
        <item x="2"/>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s>
  <rowFields count="1">
    <field x="3"/>
  </rowFields>
  <rowItems count="4">
    <i>
      <x/>
    </i>
    <i>
      <x v="1"/>
    </i>
    <i>
      <x v="2"/>
    </i>
    <i t="grand">
      <x/>
    </i>
  </rowItems>
  <colFields count="1">
    <field x="2"/>
  </colFields>
  <colItems count="3">
    <i>
      <x v="2"/>
    </i>
    <i>
      <x v="3"/>
    </i>
    <i t="grand">
      <x/>
    </i>
  </colItems>
  <dataFields count="1">
    <dataField name="Count of Passenger Id" fld="0" subtotal="count" baseField="3" baseItem="0"/>
  </dataFields>
  <chartFormats count="9">
    <chartFormat chart="5" format="0" series="1">
      <pivotArea type="data" outline="0" fieldPosition="0">
        <references count="2">
          <reference field="4294967294" count="1" selected="0">
            <x v="0"/>
          </reference>
          <reference field="2" count="1" selected="0">
            <x v="0"/>
          </reference>
        </references>
      </pivotArea>
    </chartFormat>
    <chartFormat chart="5" format="1" series="1">
      <pivotArea type="data" outline="0" fieldPosition="0">
        <references count="2">
          <reference field="4294967294" count="1" selected="0">
            <x v="0"/>
          </reference>
          <reference field="2" count="1" selected="0">
            <x v="1"/>
          </reference>
        </references>
      </pivotArea>
    </chartFormat>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 chart="7" format="6"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7" series="1">
      <pivotArea type="data" outline="0" fieldPosition="0">
        <references count="2">
          <reference field="4294967294" count="1" selected="0">
            <x v="0"/>
          </reference>
          <reference field="2" count="1" selected="0">
            <x v="3"/>
          </reference>
        </references>
      </pivotArea>
    </chartFormat>
    <chartFormat chart="7" format="8" series="1">
      <pivotArea type="data" outline="0" fieldPosition="0">
        <references count="2">
          <reference field="4294967294" count="1" selected="0">
            <x v="0"/>
          </reference>
          <reference field="2" count="1" selected="0">
            <x v="2"/>
          </reference>
        </references>
      </pivotArea>
    </chartFormat>
    <chartFormat chart="5" format="3"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CCD2DE-D667-48E4-A183-B4B26B640DEB}" name="PivotTable2"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B4" firstHeaderRow="1" firstDataRow="1" firstDataCol="1"/>
  <pivotFields count="19">
    <pivotField dataField="1" showAll="0"/>
    <pivotField showAll="0"/>
    <pivotField name=" " axis="axisRow" showAll="0">
      <items count="5">
        <item m="1" x="2"/>
        <item m="1" x="3"/>
        <item x="1"/>
        <item x="0"/>
        <item t="default"/>
      </items>
    </pivotField>
    <pivotField showAll="0">
      <items count="4">
        <item x="1"/>
        <item x="2"/>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s>
  <rowFields count="1">
    <field x="2"/>
  </rowFields>
  <rowItems count="3">
    <i>
      <x v="2"/>
    </i>
    <i>
      <x v="3"/>
    </i>
    <i t="grand">
      <x/>
    </i>
  </rowItems>
  <colItems count="1">
    <i/>
  </colItems>
  <dataFields count="1">
    <dataField name="Overall Survival" fld="0" subtotal="count" baseField="0" baseItem="867404155"/>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3"/>
          </reference>
        </references>
      </pivotArea>
    </chartFormat>
    <chartFormat chart="2" format="8">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39D2D2-C400-4070-BF1E-72FB01144287}" name="PivotTable7"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2">
  <location ref="A31:D34" firstHeaderRow="1" firstDataRow="2" firstDataCol="1"/>
  <pivotFields count="19">
    <pivotField dataField="1" showAll="0"/>
    <pivotField showAll="0"/>
    <pivotField axis="axisCol" showAll="0">
      <items count="5">
        <item m="1" x="2"/>
        <item m="1" x="3"/>
        <item x="1"/>
        <item x="0"/>
        <item t="default"/>
      </items>
    </pivotField>
    <pivotField showAll="0">
      <items count="4">
        <item x="1"/>
        <item x="2"/>
        <item x="0"/>
        <item t="default"/>
      </items>
    </pivotField>
    <pivotField showAll="0"/>
    <pivotField showAll="0"/>
    <pivotField showAll="0"/>
    <pivotField showAll="0"/>
    <pivotField showAll="0">
      <items count="3">
        <item x="1"/>
        <item x="0"/>
        <item t="default"/>
      </items>
    </pivotField>
    <pivotField showAll="0"/>
    <pivotField axis="axisRow" showAll="0">
      <items count="5">
        <item x="0"/>
        <item h="1" x="2"/>
        <item h="1" x="1"/>
        <item h="1" x="3"/>
        <item t="default"/>
      </items>
    </pivotField>
    <pivotField showAll="0"/>
    <pivotField showAll="0"/>
    <pivotField showAll="0"/>
    <pivotField showAll="0"/>
    <pivotField showAll="0"/>
    <pivotField showAll="0"/>
    <pivotField showAll="0"/>
    <pivotField showAll="0">
      <items count="4">
        <item x="1"/>
        <item x="2"/>
        <item x="0"/>
        <item t="default"/>
      </items>
    </pivotField>
  </pivotFields>
  <rowFields count="1">
    <field x="10"/>
  </rowFields>
  <rowItems count="2">
    <i>
      <x/>
    </i>
    <i t="grand">
      <x/>
    </i>
  </rowItems>
  <colFields count="1">
    <field x="2"/>
  </colFields>
  <colItems count="3">
    <i>
      <x v="2"/>
    </i>
    <i>
      <x v="3"/>
    </i>
    <i t="grand">
      <x/>
    </i>
  </colItems>
  <dataFields count="1">
    <dataField name="Count of Passenger Id" fld="0" subtotal="count" baseField="10" baseItem="0"/>
  </dataFields>
  <chartFormats count="8">
    <chartFormat chart="37" format="0" series="1">
      <pivotArea type="data" outline="0" fieldPosition="0">
        <references count="2">
          <reference field="4294967294" count="1" selected="0">
            <x v="0"/>
          </reference>
          <reference field="2" count="1" selected="0">
            <x v="0"/>
          </reference>
        </references>
      </pivotArea>
    </chartFormat>
    <chartFormat chart="37" format="1" series="1">
      <pivotArea type="data" outline="0" fieldPosition="0">
        <references count="2">
          <reference field="4294967294" count="1" selected="0">
            <x v="0"/>
          </reference>
          <reference field="2" count="1" selected="0">
            <x v="1"/>
          </reference>
        </references>
      </pivotArea>
    </chartFormat>
    <chartFormat chart="39" format="4" series="1">
      <pivotArea type="data" outline="0" fieldPosition="0">
        <references count="2">
          <reference field="4294967294" count="1" selected="0">
            <x v="0"/>
          </reference>
          <reference field="2" count="1" selected="0">
            <x v="0"/>
          </reference>
        </references>
      </pivotArea>
    </chartFormat>
    <chartFormat chart="39" format="5" series="1">
      <pivotArea type="data" outline="0" fieldPosition="0">
        <references count="2">
          <reference field="4294967294" count="1" selected="0">
            <x v="0"/>
          </reference>
          <reference field="2" count="1" selected="0">
            <x v="1"/>
          </reference>
        </references>
      </pivotArea>
    </chartFormat>
    <chartFormat chart="39" format="6"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9" format="7" series="1">
      <pivotArea type="data" outline="0" fieldPosition="0">
        <references count="2">
          <reference field="4294967294" count="1" selected="0">
            <x v="0"/>
          </reference>
          <reference field="2" count="1" selected="0">
            <x v="3"/>
          </reference>
        </references>
      </pivotArea>
    </chartFormat>
    <chartFormat chart="39"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E5D87E-AB72-4B6D-86CE-28D20FB09E03}" name="PivotTable3"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2:D16" firstHeaderRow="1" firstDataRow="2" firstDataCol="1"/>
  <pivotFields count="19">
    <pivotField dataField="1" showAll="0"/>
    <pivotField showAll="0"/>
    <pivotField axis="axisCol" showAll="0">
      <items count="5">
        <item m="1" x="2"/>
        <item m="1" x="3"/>
        <item x="0"/>
        <item x="1"/>
        <item t="default"/>
      </items>
    </pivotField>
    <pivotField showAll="0">
      <items count="4">
        <item x="1"/>
        <item x="2"/>
        <item x="0"/>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s>
  <rowFields count="1">
    <field x="8"/>
  </rowFields>
  <rowItems count="3">
    <i>
      <x/>
    </i>
    <i>
      <x v="1"/>
    </i>
    <i t="grand">
      <x/>
    </i>
  </rowItems>
  <colFields count="1">
    <field x="2"/>
  </colFields>
  <colItems count="3">
    <i>
      <x v="2"/>
    </i>
    <i>
      <x v="3"/>
    </i>
    <i t="grand">
      <x/>
    </i>
  </colItems>
  <dataFields count="1">
    <dataField name="Count of Passenger Id" fld="0" subtotal="count" baseField="8" baseItem="0"/>
  </dataFields>
  <chartFormats count="11">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2" count="1" selected="0">
            <x v="2"/>
          </reference>
        </references>
      </pivotArea>
    </chartFormat>
    <chartFormat chart="3" format="8" series="1">
      <pivotArea type="data" outline="0" fieldPosition="0">
        <references count="2">
          <reference field="4294967294" count="1" selected="0">
            <x v="0"/>
          </reference>
          <reference field="2" count="1" selected="0">
            <x v="3"/>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6CA328-333B-4EA0-8516-66F6F875F55B}" name="PivotTable6"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26:B29" firstHeaderRow="1" firstDataRow="1" firstDataCol="1"/>
  <pivotFields count="19">
    <pivotField showAll="0"/>
    <pivotField dataField="1" showAll="0"/>
    <pivotField showAll="0">
      <items count="5">
        <item m="1" x="2"/>
        <item x="0"/>
        <item x="1"/>
        <item m="1" x="3"/>
        <item t="default"/>
      </items>
    </pivotField>
    <pivotField showAll="0">
      <items count="4">
        <item x="1"/>
        <item x="2"/>
        <item x="0"/>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s>
  <rowFields count="1">
    <field x="8"/>
  </rowFields>
  <rowItems count="3">
    <i>
      <x/>
    </i>
    <i>
      <x v="1"/>
    </i>
    <i t="grand">
      <x/>
    </i>
  </rowItems>
  <colItems count="1">
    <i/>
  </colItems>
  <dataFields count="1">
    <dataField name="Average of Survived" fld="1" subtotal="average" baseField="0" baseItem="16" numFmtId="9"/>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9A7B72-C8ED-43A5-BFC7-9F13D052A9B1}" name="PivotTable10"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53:B57" firstHeaderRow="1" firstDataRow="1" firstDataCol="1"/>
  <pivotFields count="19">
    <pivotField showAll="0"/>
    <pivotField dataField="1" showAll="0"/>
    <pivotField showAll="0">
      <items count="5">
        <item m="1" x="2"/>
        <item x="0"/>
        <item x="1"/>
        <item m="1" x="3"/>
        <item t="default"/>
      </items>
    </pivotField>
    <pivotField showAll="0">
      <items count="4">
        <item x="1"/>
        <item x="2"/>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items count="4">
        <item x="1"/>
        <item x="2"/>
        <item x="0"/>
        <item t="default"/>
      </items>
    </pivotField>
  </pivotFields>
  <rowFields count="1">
    <field x="17"/>
  </rowFields>
  <rowItems count="4">
    <i>
      <x/>
    </i>
    <i>
      <x v="1"/>
    </i>
    <i>
      <x v="2"/>
    </i>
    <i t="grand">
      <x/>
    </i>
  </rowItems>
  <colItems count="1">
    <i/>
  </colItems>
  <dataFields count="1">
    <dataField name="Average of Survived" fld="1" subtotal="average" baseField="17" baseItem="0" numFmtId="9"/>
  </dataField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D61288-AA5D-454B-9898-3E2E2544194A}" name="PivotTable1"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0:A21" firstHeaderRow="1" firstDataRow="1" firstDataCol="0" rowPageCount="3" colPageCount="1"/>
  <pivotFields count="19">
    <pivotField showAll="0"/>
    <pivotField dataField="1" showAll="0"/>
    <pivotField showAll="0"/>
    <pivotField axis="axisPage" showAll="0">
      <items count="4">
        <item x="1"/>
        <item x="2"/>
        <item x="0"/>
        <item t="default"/>
      </items>
    </pivotField>
    <pivotField showAll="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axis="axisPage" showAll="0">
      <items count="4">
        <item x="1"/>
        <item x="2"/>
        <item x="0"/>
        <item t="default"/>
      </items>
    </pivotField>
  </pivotFields>
  <rowItems count="1">
    <i/>
  </rowItems>
  <colItems count="1">
    <i/>
  </colItems>
  <pageFields count="3">
    <pageField fld="8" item="0" hier="-1"/>
    <pageField fld="3" hier="-1"/>
    <pageField fld="18" hier="-1"/>
  </pageFields>
  <dataFields count="1">
    <dataField name="Female Survival Rate" fld="1"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D95DC4-EABC-413E-BE1F-099ECE6D5314}" name="PivotTable14"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A12" firstHeaderRow="1" firstDataRow="1" firstDataCol="0" rowPageCount="2" colPageCount="1"/>
  <pivotFields count="19">
    <pivotField showAll="0"/>
    <pivotField dataField="1" showAll="0"/>
    <pivotField showAll="0">
      <items count="5">
        <item m="1" x="2"/>
        <item x="0"/>
        <item x="1"/>
        <item m="1" x="3"/>
        <item t="default"/>
      </items>
    </pivotField>
    <pivotField axis="axisPage"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1"/>
        <item x="2"/>
        <item x="0"/>
        <item t="default"/>
      </items>
    </pivotField>
  </pivotFields>
  <rowItems count="1">
    <i/>
  </rowItems>
  <colItems count="1">
    <i/>
  </colItems>
  <pageFields count="2">
    <pageField fld="3" hier="-1"/>
    <pageField fld="18" hier="-1"/>
  </pageFields>
  <dataFields count="1">
    <dataField name="Survival Rate" fld="1" subtotal="average" baseField="0" baseItem="16" numFmtId="9"/>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8C1521-969D-4061-B273-88FDBB6DFF9A}" name="PivotTable13"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A6" firstHeaderRow="1" firstDataRow="1" firstDataCol="0" rowPageCount="2" colPageCount="1"/>
  <pivotFields count="19">
    <pivotField dataField="1" showAll="0"/>
    <pivotField showAll="0"/>
    <pivotField showAll="0">
      <items count="5">
        <item m="1" x="2"/>
        <item x="0"/>
        <item x="1"/>
        <item m="1" x="3"/>
        <item t="default"/>
      </items>
    </pivotField>
    <pivotField axis="axisPage"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1"/>
        <item x="2"/>
        <item x="0"/>
        <item t="default"/>
      </items>
    </pivotField>
  </pivotFields>
  <rowItems count="1">
    <i/>
  </rowItems>
  <colItems count="1">
    <i/>
  </colItems>
  <pageFields count="2">
    <pageField fld="3" hier="-1"/>
    <pageField fld="18" hier="-1"/>
  </pageFields>
  <dataFields count="1">
    <dataField name="Total Passengers" fld="0" subtotal="count" baseField="0" baseItem="1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D38760D-FB49-4CFF-B70B-E6E06C8D2184}" name="PivotTable2"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9:A30" firstHeaderRow="1" firstDataRow="1" firstDataCol="0" rowPageCount="3" colPageCount="1"/>
  <pivotFields count="19">
    <pivotField showAll="0"/>
    <pivotField dataField="1" showAll="0"/>
    <pivotField showAll="0"/>
    <pivotField axis="axisPage" showAll="0">
      <items count="4">
        <item x="1"/>
        <item x="2"/>
        <item x="0"/>
        <item t="default"/>
      </items>
    </pivotField>
    <pivotField showAll="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axis="axisPage" showAll="0">
      <items count="4">
        <item x="1"/>
        <item x="2"/>
        <item x="0"/>
        <item t="default"/>
      </items>
    </pivotField>
  </pivotFields>
  <rowItems count="1">
    <i/>
  </rowItems>
  <colItems count="1">
    <i/>
  </colItems>
  <pageFields count="3">
    <pageField fld="8" item="1" hier="-1"/>
    <pageField fld="3" hier="-1"/>
    <pageField fld="18" hier="-1"/>
  </pageFields>
  <dataFields count="1">
    <dataField name="Male Survival Rate" fld="1"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ival_Status" xr10:uid="{EFCA267F-DFF1-4136-A1B9-0F1B510B9C5C}" sourceName="Survival Status">
  <pivotTables>
    <pivotTable tabId="4" name="PivotTable10"/>
    <pivotTable tabId="4" name="PivotTable2"/>
    <pivotTable tabId="4" name="PivotTable3"/>
    <pivotTable tabId="4" name="PivotTable5"/>
    <pivotTable tabId="4" name="PivotTable6"/>
    <pivotTable tabId="4" name="PivotTable7"/>
    <pivotTable tabId="4" name="PivotTable8"/>
    <pivotTable tabId="4" name="PivotTable9"/>
    <pivotTable tabId="7" name="PivotTable13"/>
    <pivotTable tabId="7" name="PivotTable14"/>
  </pivotTables>
  <data>
    <tabular pivotCacheId="847056139">
      <items count="4">
        <i x="0" s="1"/>
        <i x="1" s="1"/>
        <i x="2"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lass1" xr10:uid="{92647239-1C37-4DD1-A4D2-E9146E3FCA77}" sourceName="Pclass">
  <pivotTables>
    <pivotTable tabId="4" name="PivotTable9"/>
    <pivotTable tabId="4" name="PivotTable8"/>
    <pivotTable tabId="4" name="PivotTable7"/>
    <pivotTable tabId="4" name="PivotTable6"/>
    <pivotTable tabId="4" name="PivotTable5"/>
    <pivotTable tabId="4" name="PivotTable3"/>
    <pivotTable tabId="4" name="PivotTable2"/>
    <pivotTable tabId="4" name="PivotTable10"/>
    <pivotTable tabId="7" name="PivotTable13"/>
    <pivotTable tabId="7" name="PivotTable14"/>
    <pivotTable tabId="7" name="PivotTable1"/>
    <pivotTable tabId="7" name="PivotTable2"/>
  </pivotTables>
  <data>
    <tabular pivotCacheId="847056139">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1" xr10:uid="{457BA755-50C8-4B61-AABF-E3622AFA51EA}" sourceName="Sex">
  <pivotTables>
    <pivotTable tabId="4" name="PivotTable9"/>
    <pivotTable tabId="4" name="PivotTable8"/>
    <pivotTable tabId="4" name="PivotTable7"/>
    <pivotTable tabId="4" name="PivotTable6"/>
    <pivotTable tabId="4" name="PivotTable5"/>
    <pivotTable tabId="4" name="PivotTable3"/>
    <pivotTable tabId="4" name="PivotTable2"/>
    <pivotTable tabId="4" name="PivotTable10"/>
  </pivotTables>
  <data>
    <tabular pivotCacheId="84705613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barked1" xr10:uid="{08A84A59-BE42-43C3-A67E-8EF15064713F}" sourceName="Embarked">
  <pivotTables>
    <pivotTable tabId="4" name="PivotTable9"/>
    <pivotTable tabId="4" name="PivotTable8"/>
    <pivotTable tabId="4" name="PivotTable7"/>
    <pivotTable tabId="4" name="PivotTable6"/>
    <pivotTable tabId="4" name="PivotTable5"/>
    <pivotTable tabId="4" name="PivotTable3"/>
    <pivotTable tabId="4" name="PivotTable2"/>
    <pivotTable tabId="4" name="PivotTable10"/>
    <pivotTable tabId="7" name="PivotTable13"/>
    <pivotTable tabId="7" name="PivotTable14"/>
    <pivotTable tabId="7" name="PivotTable1"/>
    <pivotTable tabId="7" name="PivotTable2"/>
  </pivotTables>
  <data>
    <tabular pivotCacheId="84705613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class 1" xr10:uid="{77618F0C-2B48-420E-80C0-970C29BFED68}" cache="Slicer_Pclass1" caption="Pclass" style="SlicerStyleLight1 2" rowHeight="241300"/>
  <slicer name="Sex 1" xr10:uid="{FFD187E0-DA06-4C1B-A795-094405BBEDCA}" cache="Slicer_Sex1" caption="Sex" style="SlicerStyleLight1 2" rowHeight="241300"/>
  <slicer name="Embarked 1" xr10:uid="{47ED1E34-9622-4B0E-912E-F43DF5C691EE}" cache="Slicer_Embarked1" caption="Embarked"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ival Status" xr10:uid="{D142BD1F-1D52-4C35-B2D5-A744AC63E105}" cache="Slicer_Survival_Status" caption="Survival Status" rowHeight="241300"/>
  <slicer name="Pclass" xr10:uid="{0907F2B9-113E-48EB-8DAA-042F03E9976B}" cache="Slicer_Pclass1" caption="Pclass" rowHeight="241300"/>
  <slicer name="Sex" xr10:uid="{A9EF7359-2F10-4FA9-82EE-55BCB6587777}" cache="Slicer_Sex1" caption="Sex" rowHeight="241300"/>
  <slicer name="Embarked" xr10:uid="{CC776EF3-445B-48B5-B145-7D4B02E52416}" cache="Slicer_Embarked1" caption="Embarke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FE22A4-6FCF-4832-A665-4FA531052DE2}" name="Table1" displayName="Table1" ref="A1:S33" totalsRowShown="0" headerRowDxfId="35" dataDxfId="33" headerRowBorderDxfId="34" tableBorderDxfId="32" totalsRowBorderDxfId="31">
  <tableColumns count="19">
    <tableColumn id="1" xr3:uid="{D70AB03B-CE26-474A-95BC-12CAC85BE1C5}" name="Passenger Id" dataDxfId="30"/>
    <tableColumn id="2" xr3:uid="{0BFA2CDE-C40F-49AD-8743-9EAA47801DAD}" name="Survived" dataDxfId="29"/>
    <tableColumn id="17" xr3:uid="{086B4F5B-1BF0-4B83-99E3-3A60CB4108D4}" name="Survival Status" dataDxfId="28">
      <calculatedColumnFormula>IF(Table1[[#This Row],[Survived]]=1,"Survived","Not Survived")</calculatedColumnFormula>
    </tableColumn>
    <tableColumn id="3" xr3:uid="{458EB6DA-EE10-4799-958E-69EFB6692586}" name="Pclass" dataDxfId="27"/>
    <tableColumn id="4" xr3:uid="{54BB62E1-1A38-4AF4-8801-81050447D358}" name="Title" dataDxfId="26"/>
    <tableColumn id="5" xr3:uid="{D4C47F3A-5F0F-4EB0-998A-D4BF77185C83}" name="First Name" dataDxfId="25"/>
    <tableColumn id="6" xr3:uid="{DBA80EDE-4CC8-4CFE-B6CF-22E1CA09595A}" name="Middle Name" dataDxfId="24"/>
    <tableColumn id="7" xr3:uid="{87347F2A-9497-4D6B-B500-20EB04E23D8F}" name="Last Name" dataDxfId="23"/>
    <tableColumn id="8" xr3:uid="{BD8E80EC-2D07-4D91-8555-7226E3D89714}" name="Sex" dataDxfId="22"/>
    <tableColumn id="9" xr3:uid="{65802EAA-D766-4936-AF0B-17C70ACE38C5}" name="Age" dataDxfId="21"/>
    <tableColumn id="18" xr3:uid="{BEB77909-2C01-492E-B543-54B22B37A25E}" name="Age Group" dataDxfId="20">
      <calculatedColumnFormula>IF(Table1[[#This Row],[Age]]="","Unknown",
IF(Table1[[#This Row],[Age]]&lt;13,"Child",
IF(Table1[[#This Row],[Age]]&lt;20,"Teen",
IF(Table1[[#This Row],[Age]]&lt;40,"Adult","Senior"))))</calculatedColumnFormula>
    </tableColumn>
    <tableColumn id="10" xr3:uid="{0718E99E-F8E0-4EB7-9D3C-F852E63A6C1B}" name="SibSp" dataDxfId="19"/>
    <tableColumn id="11" xr3:uid="{C668E7BE-C9EB-489F-AD0D-A2B0CCF601FD}" name="Parch" dataDxfId="18"/>
    <tableColumn id="12" xr3:uid="{4D7CECE6-78AA-411C-A68C-E3D6D462BF38}" name="Family Size" dataDxfId="17"/>
    <tableColumn id="13" xr3:uid="{C65BBB2B-BA24-49C5-B8F6-E9ADE2500484}" name="Is Alone" dataDxfId="16">
      <calculatedColumnFormula>IF(N2&gt;1, "With Family", "Alone")</calculatedColumnFormula>
    </tableColumn>
    <tableColumn id="14" xr3:uid="{5F11EA67-C581-47A6-BFB3-8D9FA2CB287F}" name="Ticket" dataDxfId="15"/>
    <tableColumn id="15" xr3:uid="{1538E5DB-309A-4850-BAA4-4EAC68355100}" name="Fare" dataDxfId="14"/>
    <tableColumn id="19" xr3:uid="{0A77B1F9-D1E4-4708-8AFA-D7682B46ECB0}" name="Fare Group" dataDxfId="13">
      <calculatedColumnFormula>IF(Table1[[#This Row],[Fare]]&lt;20,"Low Fare",
IF(Table1[[#This Row],[Fare]]&lt;50,"Medium Fare","High Fare"))</calculatedColumnFormula>
    </tableColumn>
    <tableColumn id="16" xr3:uid="{8B42D116-D73D-45C3-BA65-8CC8A787BB00}" name="Embarked"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printerSettings" Target="../printerSettings/printerSettings3.bin"/><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332FA-A682-4F49-8886-AB3C286C089F}">
  <sheetPr codeName="Sheet4"/>
  <dimension ref="A1:U28"/>
  <sheetViews>
    <sheetView showGridLines="0" showRowColHeaders="0" tabSelected="1" workbookViewId="0">
      <selection activeCell="A26" sqref="A26"/>
    </sheetView>
  </sheetViews>
  <sheetFormatPr defaultRowHeight="15" x14ac:dyDescent="0.25"/>
  <cols>
    <col min="4" max="4" width="8.85546875" customWidth="1"/>
    <col min="5" max="5" width="9" customWidth="1"/>
    <col min="6" max="6" width="9.42578125" customWidth="1"/>
    <col min="7" max="7" width="9.5703125" customWidth="1"/>
    <col min="8" max="8" width="8.85546875" customWidth="1"/>
    <col min="10" max="10" width="8.5703125" customWidth="1"/>
    <col min="11" max="11" width="8.42578125" customWidth="1"/>
    <col min="12" max="12" width="9" customWidth="1"/>
    <col min="13" max="13" width="8.5703125" customWidth="1"/>
    <col min="21" max="21" width="7.42578125" customWidth="1"/>
  </cols>
  <sheetData>
    <row r="1" spans="1:21" ht="12.95" customHeight="1" x14ac:dyDescent="0.25">
      <c r="A1" s="21" t="s">
        <v>117</v>
      </c>
      <c r="B1" s="21"/>
      <c r="C1" s="21"/>
      <c r="D1" s="21"/>
      <c r="E1" s="21"/>
      <c r="F1" s="21"/>
      <c r="G1" s="21"/>
      <c r="H1" s="21"/>
      <c r="I1" s="21"/>
      <c r="J1" s="21"/>
      <c r="K1" s="21"/>
      <c r="L1" s="21"/>
      <c r="M1" s="21"/>
      <c r="N1" s="21"/>
      <c r="O1" s="21"/>
      <c r="P1" s="21"/>
      <c r="Q1" s="21"/>
      <c r="R1" s="21"/>
      <c r="S1" s="21"/>
      <c r="T1" s="21"/>
      <c r="U1" s="21"/>
    </row>
    <row r="2" spans="1:21" ht="12.95" customHeight="1" x14ac:dyDescent="0.25">
      <c r="A2" s="21"/>
      <c r="B2" s="21"/>
      <c r="C2" s="21"/>
      <c r="D2" s="21"/>
      <c r="E2" s="21"/>
      <c r="F2" s="21"/>
      <c r="G2" s="21"/>
      <c r="H2" s="21"/>
      <c r="I2" s="21"/>
      <c r="J2" s="21"/>
      <c r="K2" s="21"/>
      <c r="L2" s="21"/>
      <c r="M2" s="21"/>
      <c r="N2" s="21"/>
      <c r="O2" s="21"/>
      <c r="P2" s="21"/>
      <c r="Q2" s="21"/>
      <c r="R2" s="21"/>
      <c r="S2" s="21"/>
      <c r="T2" s="21"/>
      <c r="U2" s="21"/>
    </row>
    <row r="3" spans="1:21" ht="12.95" customHeight="1" x14ac:dyDescent="0.25">
      <c r="A3" s="21"/>
      <c r="B3" s="21"/>
      <c r="C3" s="21"/>
      <c r="D3" s="21"/>
      <c r="E3" s="21"/>
      <c r="F3" s="21"/>
      <c r="G3" s="21"/>
      <c r="H3" s="21"/>
      <c r="I3" s="21"/>
      <c r="J3" s="21"/>
      <c r="K3" s="21"/>
      <c r="L3" s="21"/>
      <c r="M3" s="21"/>
      <c r="N3" s="21"/>
      <c r="O3" s="21"/>
      <c r="P3" s="21"/>
      <c r="Q3" s="21"/>
      <c r="R3" s="21"/>
      <c r="S3" s="21"/>
      <c r="T3" s="21"/>
      <c r="U3" s="21"/>
    </row>
    <row r="4" spans="1:21" ht="15" customHeight="1" x14ac:dyDescent="0.25">
      <c r="C4" s="20"/>
      <c r="D4" s="22">
        <f>GETPIVOTDATA("Passenger Id",KPI_Mapping!$A$5)</f>
        <v>32</v>
      </c>
      <c r="E4" s="22"/>
      <c r="F4" s="22"/>
      <c r="G4" s="22"/>
      <c r="H4" s="23">
        <f>GETPIVOTDATA("Survived",KPI_Mapping!$A$11)</f>
        <v>0.53125</v>
      </c>
      <c r="I4" s="23"/>
      <c r="J4" s="23"/>
      <c r="K4" s="23"/>
      <c r="L4" s="23">
        <f>GETPIVOTDATA("Survived",KPI_Mapping!$A$20)</f>
        <v>0.875</v>
      </c>
      <c r="M4" s="23"/>
      <c r="N4" s="23"/>
      <c r="O4" s="23"/>
      <c r="P4" s="23"/>
      <c r="Q4" s="23">
        <f>GETPIVOTDATA("Survived",KPI_Mapping!$A$29)</f>
        <v>0.1875</v>
      </c>
      <c r="R4" s="23"/>
      <c r="S4" s="23"/>
      <c r="T4" s="23"/>
      <c r="U4" s="23"/>
    </row>
    <row r="5" spans="1:21" ht="15" customHeight="1" x14ac:dyDescent="0.25">
      <c r="C5" s="20"/>
      <c r="D5" s="22"/>
      <c r="E5" s="22"/>
      <c r="F5" s="22"/>
      <c r="G5" s="22"/>
      <c r="H5" s="23"/>
      <c r="I5" s="23"/>
      <c r="J5" s="23"/>
      <c r="K5" s="23"/>
      <c r="L5" s="23"/>
      <c r="M5" s="23"/>
      <c r="N5" s="23"/>
      <c r="O5" s="23"/>
      <c r="P5" s="23"/>
      <c r="Q5" s="23"/>
      <c r="R5" s="23"/>
      <c r="S5" s="23"/>
      <c r="T5" s="23"/>
      <c r="U5" s="23"/>
    </row>
    <row r="6" spans="1:21" ht="15" customHeight="1" x14ac:dyDescent="0.25">
      <c r="C6" s="20"/>
      <c r="D6" s="22"/>
      <c r="E6" s="22"/>
      <c r="F6" s="22"/>
      <c r="G6" s="22"/>
      <c r="H6" s="23"/>
      <c r="I6" s="23"/>
      <c r="J6" s="23"/>
      <c r="K6" s="23"/>
      <c r="L6" s="23"/>
      <c r="M6" s="23"/>
      <c r="N6" s="23"/>
      <c r="O6" s="23"/>
      <c r="P6" s="23"/>
      <c r="Q6" s="23"/>
      <c r="R6" s="23"/>
      <c r="S6" s="23"/>
      <c r="T6" s="23"/>
      <c r="U6" s="23"/>
    </row>
    <row r="7" spans="1:21" ht="15" customHeight="1" x14ac:dyDescent="0.25">
      <c r="C7" s="20"/>
      <c r="D7" s="22"/>
      <c r="E7" s="22"/>
      <c r="F7" s="22"/>
      <c r="G7" s="22"/>
      <c r="H7" s="23"/>
      <c r="I7" s="23"/>
      <c r="J7" s="23"/>
      <c r="K7" s="23"/>
      <c r="L7" s="23"/>
      <c r="M7" s="23"/>
      <c r="N7" s="23"/>
      <c r="O7" s="23"/>
      <c r="P7" s="23"/>
      <c r="Q7" s="23"/>
      <c r="R7" s="23"/>
      <c r="S7" s="23"/>
      <c r="T7" s="23"/>
      <c r="U7" s="23"/>
    </row>
    <row r="8" spans="1:21" ht="15" customHeight="1" x14ac:dyDescent="0.25">
      <c r="C8" s="20"/>
      <c r="D8" s="22"/>
      <c r="E8" s="22"/>
      <c r="F8" s="22"/>
      <c r="G8" s="22"/>
      <c r="H8" s="23"/>
      <c r="I8" s="23"/>
      <c r="J8" s="23"/>
      <c r="K8" s="23"/>
      <c r="L8" s="23"/>
      <c r="M8" s="23"/>
      <c r="N8" s="23"/>
      <c r="O8" s="23"/>
      <c r="P8" s="23"/>
      <c r="Q8" s="23"/>
      <c r="R8" s="23"/>
      <c r="S8" s="23"/>
      <c r="T8" s="23"/>
      <c r="U8" s="23"/>
    </row>
    <row r="9" spans="1:21" ht="15" customHeight="1" x14ac:dyDescent="0.25">
      <c r="C9" s="20"/>
      <c r="D9" s="22"/>
      <c r="E9" s="22"/>
      <c r="F9" s="22"/>
      <c r="G9" s="22"/>
      <c r="H9" s="23"/>
      <c r="I9" s="23"/>
      <c r="J9" s="23"/>
      <c r="K9" s="23"/>
      <c r="L9" s="23"/>
      <c r="M9" s="23"/>
      <c r="N9" s="23"/>
      <c r="O9" s="23"/>
      <c r="P9" s="23"/>
      <c r="Q9" s="23"/>
      <c r="R9" s="23"/>
      <c r="S9" s="23"/>
      <c r="T9" s="23"/>
      <c r="U9" s="23"/>
    </row>
    <row r="10" spans="1:21" x14ac:dyDescent="0.25">
      <c r="D10" s="19"/>
      <c r="E10" s="19"/>
      <c r="F10" s="19"/>
      <c r="G10" s="19"/>
      <c r="H10" s="19"/>
      <c r="I10" s="19"/>
      <c r="J10" s="19"/>
      <c r="K10" s="19"/>
      <c r="L10" s="19"/>
      <c r="M10" s="19"/>
      <c r="N10" s="19"/>
      <c r="O10" s="19"/>
      <c r="P10" s="19"/>
    </row>
    <row r="11" spans="1:21" x14ac:dyDescent="0.25">
      <c r="D11" s="19"/>
      <c r="E11" s="19"/>
      <c r="F11" s="19"/>
      <c r="G11" s="19"/>
      <c r="H11" s="19"/>
      <c r="I11" s="19"/>
      <c r="J11" s="19"/>
      <c r="K11" s="19"/>
      <c r="L11" s="19"/>
      <c r="M11" s="19"/>
      <c r="N11" s="19"/>
      <c r="O11" s="19"/>
      <c r="P11" s="19"/>
    </row>
    <row r="28" spans="6:6" x14ac:dyDescent="0.25">
      <c r="F28" s="18"/>
    </row>
  </sheetData>
  <mergeCells count="5">
    <mergeCell ref="A1:U3"/>
    <mergeCell ref="D4:G9"/>
    <mergeCell ref="H4:K9"/>
    <mergeCell ref="L4:P9"/>
    <mergeCell ref="Q4:U9"/>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95D34-F19F-447E-871F-1D2FBF8B5336}">
  <sheetPr codeName="Sheet1"/>
  <dimension ref="A1:P33"/>
  <sheetViews>
    <sheetView workbookViewId="0"/>
  </sheetViews>
  <sheetFormatPr defaultRowHeight="12.95" customHeight="1" x14ac:dyDescent="0.25"/>
  <cols>
    <col min="1" max="1" width="12.140625" style="5" customWidth="1"/>
    <col min="2" max="2" width="8.85546875" style="5" customWidth="1"/>
    <col min="3" max="3" width="6.28515625" style="5" bestFit="1" customWidth="1"/>
    <col min="4" max="4" width="7.85546875" style="4" customWidth="1"/>
    <col min="5" max="5" width="13.140625" style="4" customWidth="1"/>
    <col min="6" max="6" width="28" style="4" customWidth="1"/>
    <col min="7" max="7" width="15.28515625" style="4" customWidth="1"/>
    <col min="8" max="8" width="7.5703125" style="4" bestFit="1" customWidth="1"/>
    <col min="9" max="10" width="9.140625" style="5"/>
    <col min="11" max="11" width="6.7109375" style="5" customWidth="1"/>
    <col min="12" max="12" width="10.5703125" style="5" customWidth="1"/>
    <col min="13" max="13" width="8.5703125" style="4" customWidth="1"/>
    <col min="14" max="14" width="10" style="5" customWidth="1"/>
    <col min="15" max="15" width="9.28515625" style="5" customWidth="1"/>
    <col min="16" max="16" width="10.7109375" style="5" customWidth="1"/>
    <col min="17" max="16384" width="9.140625" style="4"/>
  </cols>
  <sheetData>
    <row r="1" spans="1:16" ht="12.95" customHeight="1" x14ac:dyDescent="0.25">
      <c r="A1" s="3" t="s">
        <v>102</v>
      </c>
      <c r="B1" s="3" t="s">
        <v>0</v>
      </c>
      <c r="C1" s="3" t="s">
        <v>1</v>
      </c>
      <c r="D1" s="3" t="s">
        <v>2</v>
      </c>
      <c r="E1" s="3" t="s">
        <v>87</v>
      </c>
      <c r="F1" s="3" t="s">
        <v>88</v>
      </c>
      <c r="G1" s="3" t="s">
        <v>90</v>
      </c>
      <c r="H1" s="3" t="s">
        <v>3</v>
      </c>
      <c r="I1" s="3" t="s">
        <v>4</v>
      </c>
      <c r="J1" s="3" t="s">
        <v>5</v>
      </c>
      <c r="K1" s="3" t="s">
        <v>6</v>
      </c>
      <c r="L1" s="3" t="s">
        <v>91</v>
      </c>
      <c r="M1" s="3" t="s">
        <v>103</v>
      </c>
      <c r="N1" s="3" t="s">
        <v>7</v>
      </c>
      <c r="O1" s="3" t="s">
        <v>8</v>
      </c>
      <c r="P1" s="3" t="s">
        <v>9</v>
      </c>
    </row>
    <row r="2" spans="1:16" ht="12.95" customHeight="1" x14ac:dyDescent="0.25">
      <c r="A2" s="2">
        <v>1</v>
      </c>
      <c r="B2" s="2">
        <v>0</v>
      </c>
      <c r="C2" s="2">
        <v>3</v>
      </c>
      <c r="D2" s="1" t="s">
        <v>10</v>
      </c>
      <c r="E2" s="1" t="s">
        <v>11</v>
      </c>
      <c r="F2" s="1" t="s">
        <v>12</v>
      </c>
      <c r="G2" s="1" t="s">
        <v>13</v>
      </c>
      <c r="H2" s="1" t="s">
        <v>14</v>
      </c>
      <c r="I2" s="2">
        <v>22</v>
      </c>
      <c r="J2" s="2">
        <v>1</v>
      </c>
      <c r="K2" s="2">
        <v>0</v>
      </c>
      <c r="L2" s="2">
        <v>2</v>
      </c>
      <c r="M2" s="1" t="b">
        <v>0</v>
      </c>
      <c r="N2" s="2">
        <v>521171</v>
      </c>
      <c r="O2" s="2">
        <v>7.25</v>
      </c>
      <c r="P2" s="2" t="s">
        <v>15</v>
      </c>
    </row>
    <row r="3" spans="1:16" ht="12.95" customHeight="1" x14ac:dyDescent="0.25">
      <c r="A3" s="2">
        <v>2</v>
      </c>
      <c r="B3" s="2">
        <v>1</v>
      </c>
      <c r="C3" s="2">
        <v>1</v>
      </c>
      <c r="D3" s="1" t="s">
        <v>16</v>
      </c>
      <c r="E3" s="1" t="s">
        <v>17</v>
      </c>
      <c r="F3" s="1" t="s">
        <v>92</v>
      </c>
      <c r="G3" s="1" t="s">
        <v>18</v>
      </c>
      <c r="H3" s="1" t="s">
        <v>19</v>
      </c>
      <c r="I3" s="2">
        <v>38</v>
      </c>
      <c r="J3" s="2">
        <v>1</v>
      </c>
      <c r="K3" s="2">
        <v>0</v>
      </c>
      <c r="L3" s="2">
        <v>2</v>
      </c>
      <c r="M3" s="1" t="b">
        <v>0</v>
      </c>
      <c r="N3" s="2">
        <v>17599</v>
      </c>
      <c r="O3" s="2">
        <v>71.28</v>
      </c>
      <c r="P3" s="2" t="s">
        <v>20</v>
      </c>
    </row>
    <row r="4" spans="1:16" ht="12.95" customHeight="1" x14ac:dyDescent="0.25">
      <c r="A4" s="2">
        <v>3</v>
      </c>
      <c r="B4" s="2">
        <v>1</v>
      </c>
      <c r="C4" s="2">
        <v>3</v>
      </c>
      <c r="D4" s="1" t="s">
        <v>21</v>
      </c>
      <c r="E4" s="1" t="s">
        <v>22</v>
      </c>
      <c r="F4" s="1"/>
      <c r="G4" s="1" t="s">
        <v>23</v>
      </c>
      <c r="H4" s="1" t="s">
        <v>19</v>
      </c>
      <c r="I4" s="2">
        <v>26</v>
      </c>
      <c r="J4" s="2">
        <v>0</v>
      </c>
      <c r="K4" s="2">
        <v>0</v>
      </c>
      <c r="L4" s="2">
        <v>1</v>
      </c>
      <c r="M4" s="1" t="b">
        <v>1</v>
      </c>
      <c r="N4" s="2">
        <v>23101282</v>
      </c>
      <c r="O4" s="2">
        <v>7.92</v>
      </c>
      <c r="P4" s="2" t="s">
        <v>15</v>
      </c>
    </row>
    <row r="5" spans="1:16" ht="12.95" customHeight="1" x14ac:dyDescent="0.25">
      <c r="A5" s="2">
        <v>4</v>
      </c>
      <c r="B5" s="2">
        <v>1</v>
      </c>
      <c r="C5" s="2">
        <v>1</v>
      </c>
      <c r="D5" s="1" t="s">
        <v>16</v>
      </c>
      <c r="E5" s="1" t="s">
        <v>24</v>
      </c>
      <c r="F5" s="1" t="s">
        <v>95</v>
      </c>
      <c r="G5" s="1" t="s">
        <v>25</v>
      </c>
      <c r="H5" s="1" t="s">
        <v>19</v>
      </c>
      <c r="I5" s="2">
        <v>35</v>
      </c>
      <c r="J5" s="2">
        <v>1</v>
      </c>
      <c r="K5" s="2">
        <v>0</v>
      </c>
      <c r="L5" s="2">
        <v>2</v>
      </c>
      <c r="M5" s="1" t="b">
        <v>0</v>
      </c>
      <c r="N5" s="2">
        <v>113803</v>
      </c>
      <c r="O5" s="2">
        <v>53.1</v>
      </c>
      <c r="P5" s="2" t="s">
        <v>15</v>
      </c>
    </row>
    <row r="6" spans="1:16" ht="12.95" customHeight="1" x14ac:dyDescent="0.25">
      <c r="A6" s="2">
        <v>5</v>
      </c>
      <c r="B6" s="2">
        <v>0</v>
      </c>
      <c r="C6" s="2">
        <v>3</v>
      </c>
      <c r="D6" s="1" t="s">
        <v>10</v>
      </c>
      <c r="E6" s="1" t="s">
        <v>26</v>
      </c>
      <c r="F6" s="1" t="s">
        <v>27</v>
      </c>
      <c r="G6" s="1" t="s">
        <v>28</v>
      </c>
      <c r="H6" s="1" t="s">
        <v>14</v>
      </c>
      <c r="I6" s="2">
        <v>35</v>
      </c>
      <c r="J6" s="2">
        <v>0</v>
      </c>
      <c r="K6" s="2">
        <v>0</v>
      </c>
      <c r="L6" s="2">
        <v>1</v>
      </c>
      <c r="M6" s="1" t="b">
        <v>1</v>
      </c>
      <c r="N6" s="2">
        <v>373450</v>
      </c>
      <c r="O6" s="2">
        <v>8.0500000000000007</v>
      </c>
      <c r="P6" s="2" t="s">
        <v>15</v>
      </c>
    </row>
    <row r="7" spans="1:16" ht="12.95" customHeight="1" x14ac:dyDescent="0.25">
      <c r="A7" s="2">
        <v>6</v>
      </c>
      <c r="B7" s="2">
        <v>0</v>
      </c>
      <c r="C7" s="2">
        <v>3</v>
      </c>
      <c r="D7" s="1" t="s">
        <v>10</v>
      </c>
      <c r="E7" s="1" t="s">
        <v>29</v>
      </c>
      <c r="F7" s="1"/>
      <c r="G7" s="1" t="s">
        <v>30</v>
      </c>
      <c r="H7" s="1" t="s">
        <v>14</v>
      </c>
      <c r="I7" s="2">
        <v>28</v>
      </c>
      <c r="J7" s="2">
        <v>0</v>
      </c>
      <c r="K7" s="2">
        <v>0</v>
      </c>
      <c r="L7" s="2">
        <v>1</v>
      </c>
      <c r="M7" s="1" t="b">
        <v>1</v>
      </c>
      <c r="N7" s="2">
        <v>330877</v>
      </c>
      <c r="O7" s="2">
        <v>8.4600000000000009</v>
      </c>
      <c r="P7" s="2" t="s">
        <v>31</v>
      </c>
    </row>
    <row r="8" spans="1:16" ht="12.95" customHeight="1" x14ac:dyDescent="0.25">
      <c r="A8" s="2">
        <v>7</v>
      </c>
      <c r="B8" s="2">
        <v>0</v>
      </c>
      <c r="C8" s="2">
        <v>1</v>
      </c>
      <c r="D8" s="1" t="s">
        <v>10</v>
      </c>
      <c r="E8" s="1" t="s">
        <v>32</v>
      </c>
      <c r="F8" s="1" t="s">
        <v>33</v>
      </c>
      <c r="G8" s="1" t="s">
        <v>34</v>
      </c>
      <c r="H8" s="1" t="s">
        <v>14</v>
      </c>
      <c r="I8" s="2">
        <v>54</v>
      </c>
      <c r="J8" s="2">
        <v>0</v>
      </c>
      <c r="K8" s="2">
        <v>0</v>
      </c>
      <c r="L8" s="2">
        <v>1</v>
      </c>
      <c r="M8" s="1" t="b">
        <v>1</v>
      </c>
      <c r="N8" s="2">
        <v>17463</v>
      </c>
      <c r="O8" s="2">
        <v>51.86</v>
      </c>
      <c r="P8" s="2" t="s">
        <v>15</v>
      </c>
    </row>
    <row r="9" spans="1:16" ht="12.95" customHeight="1" x14ac:dyDescent="0.25">
      <c r="A9" s="2">
        <v>8</v>
      </c>
      <c r="B9" s="2">
        <v>0</v>
      </c>
      <c r="C9" s="2">
        <v>3</v>
      </c>
      <c r="D9" s="1" t="s">
        <v>35</v>
      </c>
      <c r="E9" s="1" t="s">
        <v>36</v>
      </c>
      <c r="F9" s="1" t="s">
        <v>37</v>
      </c>
      <c r="G9" s="1" t="s">
        <v>38</v>
      </c>
      <c r="H9" s="1" t="s">
        <v>14</v>
      </c>
      <c r="I9" s="2">
        <v>2</v>
      </c>
      <c r="J9" s="2">
        <v>3</v>
      </c>
      <c r="K9" s="2">
        <v>1</v>
      </c>
      <c r="L9" s="2">
        <v>5</v>
      </c>
      <c r="M9" s="1" t="b">
        <v>0</v>
      </c>
      <c r="N9" s="2">
        <v>349909</v>
      </c>
      <c r="O9" s="2">
        <v>21.08</v>
      </c>
      <c r="P9" s="2" t="s">
        <v>15</v>
      </c>
    </row>
    <row r="10" spans="1:16" ht="12.95" customHeight="1" x14ac:dyDescent="0.25">
      <c r="A10" s="2">
        <v>9</v>
      </c>
      <c r="B10" s="2">
        <v>1</v>
      </c>
      <c r="C10" s="2">
        <v>3</v>
      </c>
      <c r="D10" s="1" t="s">
        <v>16</v>
      </c>
      <c r="E10" s="1" t="s">
        <v>39</v>
      </c>
      <c r="F10" s="1" t="s">
        <v>93</v>
      </c>
      <c r="G10" s="1" t="s">
        <v>40</v>
      </c>
      <c r="H10" s="1" t="s">
        <v>19</v>
      </c>
      <c r="I10" s="2">
        <v>27</v>
      </c>
      <c r="J10" s="2">
        <v>0</v>
      </c>
      <c r="K10" s="2">
        <v>2</v>
      </c>
      <c r="L10" s="2">
        <v>3</v>
      </c>
      <c r="M10" s="1" t="b">
        <v>0</v>
      </c>
      <c r="N10" s="2">
        <v>347742</v>
      </c>
      <c r="O10" s="2">
        <v>11.13</v>
      </c>
      <c r="P10" s="2" t="s">
        <v>15</v>
      </c>
    </row>
    <row r="11" spans="1:16" ht="12.95" customHeight="1" x14ac:dyDescent="0.25">
      <c r="A11" s="2">
        <v>10</v>
      </c>
      <c r="B11" s="2">
        <v>1</v>
      </c>
      <c r="C11" s="2">
        <v>2</v>
      </c>
      <c r="D11" s="1" t="s">
        <v>16</v>
      </c>
      <c r="E11" s="1" t="s">
        <v>41</v>
      </c>
      <c r="F11" s="1" t="s">
        <v>94</v>
      </c>
      <c r="G11" s="1" t="s">
        <v>42</v>
      </c>
      <c r="H11" s="1" t="s">
        <v>19</v>
      </c>
      <c r="I11" s="2">
        <v>14</v>
      </c>
      <c r="J11" s="2">
        <v>1</v>
      </c>
      <c r="K11" s="2">
        <v>0</v>
      </c>
      <c r="L11" s="2">
        <v>2</v>
      </c>
      <c r="M11" s="1" t="b">
        <v>0</v>
      </c>
      <c r="N11" s="2">
        <v>237736</v>
      </c>
      <c r="O11" s="2">
        <v>30.07</v>
      </c>
      <c r="P11" s="2" t="s">
        <v>20</v>
      </c>
    </row>
    <row r="12" spans="1:16" ht="12.95" customHeight="1" x14ac:dyDescent="0.25">
      <c r="A12" s="2">
        <v>11</v>
      </c>
      <c r="B12" s="2">
        <v>1</v>
      </c>
      <c r="C12" s="2">
        <v>3</v>
      </c>
      <c r="D12" s="1" t="s">
        <v>21</v>
      </c>
      <c r="E12" s="1" t="s">
        <v>43</v>
      </c>
      <c r="F12" s="1" t="s">
        <v>44</v>
      </c>
      <c r="G12" s="1" t="s">
        <v>45</v>
      </c>
      <c r="H12" s="1" t="s">
        <v>19</v>
      </c>
      <c r="I12" s="2">
        <v>4</v>
      </c>
      <c r="J12" s="2">
        <v>1</v>
      </c>
      <c r="K12" s="2">
        <v>1</v>
      </c>
      <c r="L12" s="2">
        <v>3</v>
      </c>
      <c r="M12" s="1" t="b">
        <v>0</v>
      </c>
      <c r="N12" s="2">
        <v>9549</v>
      </c>
      <c r="O12" s="2">
        <v>16.7</v>
      </c>
      <c r="P12" s="2" t="s">
        <v>15</v>
      </c>
    </row>
    <row r="13" spans="1:16" ht="12.95" customHeight="1" x14ac:dyDescent="0.25">
      <c r="A13" s="2">
        <v>12</v>
      </c>
      <c r="B13" s="2">
        <v>1</v>
      </c>
      <c r="C13" s="2">
        <v>1</v>
      </c>
      <c r="D13" s="1" t="s">
        <v>21</v>
      </c>
      <c r="E13" s="1" t="s">
        <v>46</v>
      </c>
      <c r="F13" s="1"/>
      <c r="G13" s="1" t="s">
        <v>47</v>
      </c>
      <c r="H13" s="1" t="s">
        <v>19</v>
      </c>
      <c r="I13" s="2">
        <v>58</v>
      </c>
      <c r="J13" s="2">
        <v>0</v>
      </c>
      <c r="K13" s="2">
        <v>0</v>
      </c>
      <c r="L13" s="2">
        <v>1</v>
      </c>
      <c r="M13" s="1" t="b">
        <v>1</v>
      </c>
      <c r="N13" s="2">
        <v>113783</v>
      </c>
      <c r="O13" s="2">
        <v>26.55</v>
      </c>
      <c r="P13" s="2" t="s">
        <v>15</v>
      </c>
    </row>
    <row r="14" spans="1:16" ht="12.95" customHeight="1" x14ac:dyDescent="0.25">
      <c r="A14" s="2">
        <v>13</v>
      </c>
      <c r="B14" s="2">
        <v>0</v>
      </c>
      <c r="C14" s="2">
        <v>3</v>
      </c>
      <c r="D14" s="1" t="s">
        <v>10</v>
      </c>
      <c r="E14" s="1" t="s">
        <v>26</v>
      </c>
      <c r="F14" s="1" t="s">
        <v>27</v>
      </c>
      <c r="G14" s="1" t="s">
        <v>48</v>
      </c>
      <c r="H14" s="1" t="s">
        <v>14</v>
      </c>
      <c r="I14" s="2">
        <v>20</v>
      </c>
      <c r="J14" s="2">
        <v>0</v>
      </c>
      <c r="K14" s="2">
        <v>0</v>
      </c>
      <c r="L14" s="2">
        <v>1</v>
      </c>
      <c r="M14" s="1" t="b">
        <v>1</v>
      </c>
      <c r="N14" s="2">
        <v>52151</v>
      </c>
      <c r="O14" s="2">
        <v>8.0500000000000007</v>
      </c>
      <c r="P14" s="2" t="s">
        <v>15</v>
      </c>
    </row>
    <row r="15" spans="1:16" ht="12.95" customHeight="1" x14ac:dyDescent="0.25">
      <c r="A15" s="2">
        <v>14</v>
      </c>
      <c r="B15" s="2">
        <v>0</v>
      </c>
      <c r="C15" s="2">
        <v>3</v>
      </c>
      <c r="D15" s="1" t="s">
        <v>10</v>
      </c>
      <c r="E15" s="1" t="s">
        <v>49</v>
      </c>
      <c r="F15" s="1" t="s">
        <v>50</v>
      </c>
      <c r="G15" s="1" t="s">
        <v>51</v>
      </c>
      <c r="H15" s="1" t="s">
        <v>14</v>
      </c>
      <c r="I15" s="2">
        <v>39</v>
      </c>
      <c r="J15" s="2">
        <v>1</v>
      </c>
      <c r="K15" s="2">
        <v>5</v>
      </c>
      <c r="L15" s="2">
        <v>7</v>
      </c>
      <c r="M15" s="1" t="b">
        <v>0</v>
      </c>
      <c r="N15" s="2">
        <v>347082</v>
      </c>
      <c r="O15" s="2">
        <v>31.28</v>
      </c>
      <c r="P15" s="2" t="s">
        <v>15</v>
      </c>
    </row>
    <row r="16" spans="1:16" ht="12.95" customHeight="1" x14ac:dyDescent="0.25">
      <c r="A16" s="2">
        <v>15</v>
      </c>
      <c r="B16" s="2">
        <v>1</v>
      </c>
      <c r="C16" s="2">
        <v>3</v>
      </c>
      <c r="D16" s="1" t="s">
        <v>21</v>
      </c>
      <c r="E16" s="1" t="s">
        <v>52</v>
      </c>
      <c r="F16" s="1"/>
      <c r="G16" s="1" t="s">
        <v>53</v>
      </c>
      <c r="H16" s="1" t="s">
        <v>19</v>
      </c>
      <c r="I16" s="2">
        <v>15</v>
      </c>
      <c r="J16" s="2">
        <v>0</v>
      </c>
      <c r="K16" s="2">
        <v>0</v>
      </c>
      <c r="L16" s="2">
        <v>1</v>
      </c>
      <c r="M16" s="1" t="b">
        <v>1</v>
      </c>
      <c r="N16" s="2">
        <v>330923</v>
      </c>
      <c r="O16" s="2">
        <v>8.0299999999999994</v>
      </c>
      <c r="P16" s="2" t="s">
        <v>31</v>
      </c>
    </row>
    <row r="17" spans="1:16" ht="12.95" customHeight="1" x14ac:dyDescent="0.25">
      <c r="A17" s="2">
        <v>16</v>
      </c>
      <c r="B17" s="2">
        <v>1</v>
      </c>
      <c r="C17" s="2">
        <v>2</v>
      </c>
      <c r="D17" s="1" t="s">
        <v>16</v>
      </c>
      <c r="E17" s="1" t="s">
        <v>97</v>
      </c>
      <c r="F17" s="1" t="s">
        <v>96</v>
      </c>
      <c r="G17" s="1" t="s">
        <v>54</v>
      </c>
      <c r="H17" s="1" t="s">
        <v>19</v>
      </c>
      <c r="I17" s="2">
        <v>55</v>
      </c>
      <c r="J17" s="2">
        <v>0</v>
      </c>
      <c r="K17" s="2">
        <v>0</v>
      </c>
      <c r="L17" s="2">
        <v>1</v>
      </c>
      <c r="M17" s="1" t="b">
        <v>1</v>
      </c>
      <c r="N17" s="2">
        <v>248706</v>
      </c>
      <c r="O17" s="2">
        <v>16</v>
      </c>
      <c r="P17" s="2" t="s">
        <v>15</v>
      </c>
    </row>
    <row r="18" spans="1:16" ht="12.95" customHeight="1" x14ac:dyDescent="0.25">
      <c r="A18" s="2">
        <v>17</v>
      </c>
      <c r="B18" s="2">
        <v>0</v>
      </c>
      <c r="C18" s="2">
        <v>3</v>
      </c>
      <c r="D18" s="1" t="s">
        <v>35</v>
      </c>
      <c r="E18" s="1" t="s">
        <v>55</v>
      </c>
      <c r="F18" s="1"/>
      <c r="G18" s="1" t="s">
        <v>56</v>
      </c>
      <c r="H18" s="1" t="s">
        <v>14</v>
      </c>
      <c r="I18" s="2">
        <v>2</v>
      </c>
      <c r="J18" s="2">
        <v>4</v>
      </c>
      <c r="K18" s="2">
        <v>1</v>
      </c>
      <c r="L18" s="2">
        <v>6</v>
      </c>
      <c r="M18" s="1" t="b">
        <v>0</v>
      </c>
      <c r="N18" s="2">
        <v>382652</v>
      </c>
      <c r="O18" s="2">
        <v>29.12</v>
      </c>
      <c r="P18" s="2" t="s">
        <v>31</v>
      </c>
    </row>
    <row r="19" spans="1:16" ht="12.95" customHeight="1" x14ac:dyDescent="0.25">
      <c r="A19" s="2">
        <v>18</v>
      </c>
      <c r="B19" s="2">
        <v>1</v>
      </c>
      <c r="C19" s="2">
        <v>2</v>
      </c>
      <c r="D19" s="1" t="s">
        <v>10</v>
      </c>
      <c r="E19" s="1" t="s">
        <v>57</v>
      </c>
      <c r="F19" s="1" t="s">
        <v>55</v>
      </c>
      <c r="G19" s="1" t="s">
        <v>58</v>
      </c>
      <c r="H19" s="1" t="s">
        <v>14</v>
      </c>
      <c r="I19" s="2">
        <v>28</v>
      </c>
      <c r="J19" s="2">
        <v>0</v>
      </c>
      <c r="K19" s="2">
        <v>0</v>
      </c>
      <c r="L19" s="2">
        <v>1</v>
      </c>
      <c r="M19" s="1" t="b">
        <v>1</v>
      </c>
      <c r="N19" s="2">
        <v>244373</v>
      </c>
      <c r="O19" s="2">
        <v>13</v>
      </c>
      <c r="P19" s="2" t="s">
        <v>15</v>
      </c>
    </row>
    <row r="20" spans="1:16" ht="12.95" customHeight="1" x14ac:dyDescent="0.25">
      <c r="A20" s="2">
        <v>19</v>
      </c>
      <c r="B20" s="2">
        <v>0</v>
      </c>
      <c r="C20" s="2">
        <v>3</v>
      </c>
      <c r="D20" s="1" t="s">
        <v>16</v>
      </c>
      <c r="E20" s="1" t="s">
        <v>59</v>
      </c>
      <c r="F20" s="1" t="s">
        <v>98</v>
      </c>
      <c r="G20" s="1" t="s">
        <v>60</v>
      </c>
      <c r="H20" s="1" t="s">
        <v>19</v>
      </c>
      <c r="I20" s="2">
        <v>31</v>
      </c>
      <c r="J20" s="2">
        <v>1</v>
      </c>
      <c r="K20" s="2">
        <v>0</v>
      </c>
      <c r="L20" s="2">
        <v>2</v>
      </c>
      <c r="M20" s="1" t="b">
        <v>0</v>
      </c>
      <c r="N20" s="2">
        <v>345763</v>
      </c>
      <c r="O20" s="2">
        <v>18</v>
      </c>
      <c r="P20" s="2" t="s">
        <v>15</v>
      </c>
    </row>
    <row r="21" spans="1:16" ht="12.95" customHeight="1" x14ac:dyDescent="0.25">
      <c r="A21" s="2">
        <v>20</v>
      </c>
      <c r="B21" s="2">
        <v>1</v>
      </c>
      <c r="C21" s="2">
        <v>3</v>
      </c>
      <c r="D21" s="1" t="s">
        <v>16</v>
      </c>
      <c r="E21" s="1" t="s">
        <v>61</v>
      </c>
      <c r="F21" s="1"/>
      <c r="G21" s="1" t="s">
        <v>62</v>
      </c>
      <c r="H21" s="1" t="s">
        <v>19</v>
      </c>
      <c r="I21" s="2">
        <v>28</v>
      </c>
      <c r="J21" s="2">
        <v>0</v>
      </c>
      <c r="K21" s="2">
        <v>0</v>
      </c>
      <c r="L21" s="2">
        <v>1</v>
      </c>
      <c r="M21" s="1" t="b">
        <v>1</v>
      </c>
      <c r="N21" s="2">
        <v>2649</v>
      </c>
      <c r="O21" s="2">
        <v>7.22</v>
      </c>
      <c r="P21" s="2" t="s">
        <v>20</v>
      </c>
    </row>
    <row r="22" spans="1:16" ht="12.95" customHeight="1" x14ac:dyDescent="0.25">
      <c r="A22" s="2">
        <v>21</v>
      </c>
      <c r="B22" s="2">
        <v>0</v>
      </c>
      <c r="C22" s="2">
        <v>2</v>
      </c>
      <c r="D22" s="1" t="s">
        <v>10</v>
      </c>
      <c r="E22" s="1" t="s">
        <v>63</v>
      </c>
      <c r="F22" s="1" t="s">
        <v>33</v>
      </c>
      <c r="G22" s="1" t="s">
        <v>64</v>
      </c>
      <c r="H22" s="1" t="s">
        <v>14</v>
      </c>
      <c r="I22" s="2">
        <v>35</v>
      </c>
      <c r="J22" s="2">
        <v>0</v>
      </c>
      <c r="K22" s="2">
        <v>0</v>
      </c>
      <c r="L22" s="2">
        <v>1</v>
      </c>
      <c r="M22" s="1" t="b">
        <v>1</v>
      </c>
      <c r="N22" s="2">
        <v>239865</v>
      </c>
      <c r="O22" s="2">
        <v>26</v>
      </c>
      <c r="P22" s="2" t="s">
        <v>15</v>
      </c>
    </row>
    <row r="23" spans="1:16" ht="12.95" customHeight="1" x14ac:dyDescent="0.25">
      <c r="A23" s="2">
        <v>22</v>
      </c>
      <c r="B23" s="2">
        <v>1</v>
      </c>
      <c r="C23" s="2">
        <v>2</v>
      </c>
      <c r="D23" s="1" t="s">
        <v>10</v>
      </c>
      <c r="E23" s="1" t="s">
        <v>65</v>
      </c>
      <c r="F23" s="1"/>
      <c r="G23" s="1" t="s">
        <v>66</v>
      </c>
      <c r="H23" s="1" t="s">
        <v>14</v>
      </c>
      <c r="I23" s="2">
        <v>34</v>
      </c>
      <c r="J23" s="2">
        <v>0</v>
      </c>
      <c r="K23" s="2">
        <v>0</v>
      </c>
      <c r="L23" s="2">
        <v>1</v>
      </c>
      <c r="M23" s="1" t="b">
        <v>1</v>
      </c>
      <c r="N23" s="2">
        <v>248698</v>
      </c>
      <c r="O23" s="2">
        <v>13</v>
      </c>
      <c r="P23" s="2" t="s">
        <v>15</v>
      </c>
    </row>
    <row r="24" spans="1:16" ht="12.95" customHeight="1" x14ac:dyDescent="0.25">
      <c r="A24" s="2">
        <v>23</v>
      </c>
      <c r="B24" s="2">
        <v>1</v>
      </c>
      <c r="C24" s="2">
        <v>3</v>
      </c>
      <c r="D24" s="1" t="s">
        <v>21</v>
      </c>
      <c r="E24" s="1" t="s">
        <v>52</v>
      </c>
      <c r="F24" s="1" t="s">
        <v>89</v>
      </c>
      <c r="G24" s="1" t="s">
        <v>53</v>
      </c>
      <c r="H24" s="1" t="s">
        <v>19</v>
      </c>
      <c r="I24" s="2">
        <v>15</v>
      </c>
      <c r="J24" s="2">
        <v>0</v>
      </c>
      <c r="K24" s="2">
        <v>0</v>
      </c>
      <c r="L24" s="2">
        <v>1</v>
      </c>
      <c r="M24" s="1" t="b">
        <v>1</v>
      </c>
      <c r="N24" s="2">
        <v>330923</v>
      </c>
      <c r="O24" s="2">
        <v>8.0299999999999994</v>
      </c>
      <c r="P24" s="2" t="s">
        <v>31</v>
      </c>
    </row>
    <row r="25" spans="1:16" ht="12.95" customHeight="1" x14ac:dyDescent="0.25">
      <c r="A25" s="2">
        <v>24</v>
      </c>
      <c r="B25" s="2">
        <v>1</v>
      </c>
      <c r="C25" s="2">
        <v>1</v>
      </c>
      <c r="D25" s="1" t="s">
        <v>10</v>
      </c>
      <c r="E25" s="1" t="s">
        <v>26</v>
      </c>
      <c r="F25" s="1" t="s">
        <v>67</v>
      </c>
      <c r="G25" s="1" t="s">
        <v>68</v>
      </c>
      <c r="H25" s="1" t="s">
        <v>14</v>
      </c>
      <c r="I25" s="2">
        <v>28</v>
      </c>
      <c r="J25" s="2">
        <v>0</v>
      </c>
      <c r="K25" s="2">
        <v>0</v>
      </c>
      <c r="L25" s="2">
        <v>1</v>
      </c>
      <c r="M25" s="1" t="b">
        <v>1</v>
      </c>
      <c r="N25" s="2">
        <v>113788</v>
      </c>
      <c r="O25" s="2">
        <v>35.5</v>
      </c>
      <c r="P25" s="2" t="s">
        <v>15</v>
      </c>
    </row>
    <row r="26" spans="1:16" ht="12.95" customHeight="1" x14ac:dyDescent="0.25">
      <c r="A26" s="2">
        <v>25</v>
      </c>
      <c r="B26" s="2">
        <v>0</v>
      </c>
      <c r="C26" s="2">
        <v>3</v>
      </c>
      <c r="D26" s="1" t="s">
        <v>21</v>
      </c>
      <c r="E26" s="1" t="s">
        <v>69</v>
      </c>
      <c r="F26" s="1" t="s">
        <v>70</v>
      </c>
      <c r="G26" s="1" t="s">
        <v>38</v>
      </c>
      <c r="H26" s="1" t="s">
        <v>19</v>
      </c>
      <c r="I26" s="2">
        <v>8</v>
      </c>
      <c r="J26" s="2">
        <v>3</v>
      </c>
      <c r="K26" s="2">
        <v>1</v>
      </c>
      <c r="L26" s="2">
        <v>5</v>
      </c>
      <c r="M26" s="1" t="b">
        <v>0</v>
      </c>
      <c r="N26" s="2">
        <v>349909</v>
      </c>
      <c r="O26" s="2">
        <v>21.08</v>
      </c>
      <c r="P26" s="2" t="s">
        <v>15</v>
      </c>
    </row>
    <row r="27" spans="1:16" ht="12.95" customHeight="1" x14ac:dyDescent="0.25">
      <c r="A27" s="2">
        <v>26</v>
      </c>
      <c r="B27" s="2">
        <v>1</v>
      </c>
      <c r="C27" s="2">
        <v>3</v>
      </c>
      <c r="D27" s="1" t="s">
        <v>16</v>
      </c>
      <c r="E27" s="1" t="s">
        <v>71</v>
      </c>
      <c r="F27" s="1" t="s">
        <v>99</v>
      </c>
      <c r="G27" s="1" t="s">
        <v>72</v>
      </c>
      <c r="H27" s="1" t="s">
        <v>19</v>
      </c>
      <c r="I27" s="2">
        <v>38</v>
      </c>
      <c r="J27" s="2">
        <v>1</v>
      </c>
      <c r="K27" s="2">
        <v>5</v>
      </c>
      <c r="L27" s="2">
        <v>7</v>
      </c>
      <c r="M27" s="1" t="b">
        <v>0</v>
      </c>
      <c r="N27" s="2">
        <v>347077</v>
      </c>
      <c r="O27" s="2">
        <v>31.39</v>
      </c>
      <c r="P27" s="2" t="s">
        <v>15</v>
      </c>
    </row>
    <row r="28" spans="1:16" ht="12.95" customHeight="1" x14ac:dyDescent="0.25">
      <c r="A28" s="2">
        <v>27</v>
      </c>
      <c r="B28" s="2">
        <v>0</v>
      </c>
      <c r="C28" s="2">
        <v>3</v>
      </c>
      <c r="D28" s="1" t="s">
        <v>10</v>
      </c>
      <c r="E28" s="1" t="s">
        <v>73</v>
      </c>
      <c r="F28" s="1" t="s">
        <v>74</v>
      </c>
      <c r="G28" s="1" t="s">
        <v>75</v>
      </c>
      <c r="H28" s="1" t="s">
        <v>14</v>
      </c>
      <c r="I28" s="2">
        <v>28</v>
      </c>
      <c r="J28" s="2">
        <v>0</v>
      </c>
      <c r="K28" s="2">
        <v>0</v>
      </c>
      <c r="L28" s="2">
        <v>1</v>
      </c>
      <c r="M28" s="1" t="b">
        <v>1</v>
      </c>
      <c r="N28" s="2">
        <v>2631</v>
      </c>
      <c r="O28" s="2">
        <v>7.22</v>
      </c>
      <c r="P28" s="2" t="s">
        <v>20</v>
      </c>
    </row>
    <row r="29" spans="1:16" ht="12.95" customHeight="1" x14ac:dyDescent="0.25">
      <c r="A29" s="2">
        <v>28</v>
      </c>
      <c r="B29" s="2">
        <v>0</v>
      </c>
      <c r="C29" s="2">
        <v>1</v>
      </c>
      <c r="D29" s="1" t="s">
        <v>10</v>
      </c>
      <c r="E29" s="1" t="s">
        <v>57</v>
      </c>
      <c r="F29" s="1" t="s">
        <v>76</v>
      </c>
      <c r="G29" s="1" t="s">
        <v>77</v>
      </c>
      <c r="H29" s="1" t="s">
        <v>14</v>
      </c>
      <c r="I29" s="2">
        <v>19</v>
      </c>
      <c r="J29" s="2">
        <v>3</v>
      </c>
      <c r="K29" s="2">
        <v>2</v>
      </c>
      <c r="L29" s="2">
        <v>6</v>
      </c>
      <c r="M29" s="1" t="b">
        <v>0</v>
      </c>
      <c r="N29" s="2">
        <v>19950</v>
      </c>
      <c r="O29" s="2">
        <v>263</v>
      </c>
      <c r="P29" s="2" t="s">
        <v>15</v>
      </c>
    </row>
    <row r="30" spans="1:16" ht="12.95" customHeight="1" x14ac:dyDescent="0.25">
      <c r="A30" s="2">
        <v>29</v>
      </c>
      <c r="B30" s="2">
        <v>1</v>
      </c>
      <c r="C30" s="2">
        <v>3</v>
      </c>
      <c r="D30" s="1" t="s">
        <v>21</v>
      </c>
      <c r="E30" s="1" t="s">
        <v>78</v>
      </c>
      <c r="F30" s="1" t="s">
        <v>100</v>
      </c>
      <c r="G30" s="1" t="s">
        <v>79</v>
      </c>
      <c r="H30" s="1" t="s">
        <v>19</v>
      </c>
      <c r="I30" s="2">
        <v>28</v>
      </c>
      <c r="J30" s="2">
        <v>0</v>
      </c>
      <c r="K30" s="2">
        <v>0</v>
      </c>
      <c r="L30" s="2">
        <v>1</v>
      </c>
      <c r="M30" s="1" t="b">
        <v>1</v>
      </c>
      <c r="N30" s="2">
        <v>330959</v>
      </c>
      <c r="O30" s="2">
        <v>7.88</v>
      </c>
      <c r="P30" s="2" t="s">
        <v>31</v>
      </c>
    </row>
    <row r="31" spans="1:16" ht="12.95" customHeight="1" x14ac:dyDescent="0.25">
      <c r="A31" s="2">
        <v>30</v>
      </c>
      <c r="B31" s="2">
        <v>0</v>
      </c>
      <c r="C31" s="2">
        <v>3</v>
      </c>
      <c r="D31" s="1" t="s">
        <v>10</v>
      </c>
      <c r="E31" s="1" t="s">
        <v>80</v>
      </c>
      <c r="F31" s="1"/>
      <c r="G31" s="1" t="s">
        <v>81</v>
      </c>
      <c r="H31" s="1" t="s">
        <v>14</v>
      </c>
      <c r="I31" s="2">
        <v>28</v>
      </c>
      <c r="J31" s="2">
        <v>0</v>
      </c>
      <c r="K31" s="2">
        <v>0</v>
      </c>
      <c r="L31" s="2">
        <v>1</v>
      </c>
      <c r="M31" s="1" t="b">
        <v>1</v>
      </c>
      <c r="N31" s="2">
        <v>349216</v>
      </c>
      <c r="O31" s="2">
        <v>7.9</v>
      </c>
      <c r="P31" s="2" t="s">
        <v>15</v>
      </c>
    </row>
    <row r="32" spans="1:16" ht="12.95" customHeight="1" x14ac:dyDescent="0.25">
      <c r="A32" s="2">
        <v>31</v>
      </c>
      <c r="B32" s="2">
        <v>0</v>
      </c>
      <c r="C32" s="2">
        <v>1</v>
      </c>
      <c r="D32" s="1" t="s">
        <v>82</v>
      </c>
      <c r="E32" s="1" t="s">
        <v>83</v>
      </c>
      <c r="F32" s="1" t="s">
        <v>84</v>
      </c>
      <c r="G32" s="1" t="s">
        <v>85</v>
      </c>
      <c r="H32" s="1" t="s">
        <v>14</v>
      </c>
      <c r="I32" s="2">
        <v>40</v>
      </c>
      <c r="J32" s="2">
        <v>0</v>
      </c>
      <c r="K32" s="2">
        <v>0</v>
      </c>
      <c r="L32" s="2">
        <v>1</v>
      </c>
      <c r="M32" s="1" t="b">
        <v>1</v>
      </c>
      <c r="N32" s="2">
        <v>17601</v>
      </c>
      <c r="O32" s="2">
        <v>27.72</v>
      </c>
      <c r="P32" s="2" t="s">
        <v>20</v>
      </c>
    </row>
    <row r="33" spans="1:16" ht="12.95" customHeight="1" x14ac:dyDescent="0.25">
      <c r="A33" s="2">
        <v>32</v>
      </c>
      <c r="B33" s="2">
        <v>1</v>
      </c>
      <c r="C33" s="2">
        <v>1</v>
      </c>
      <c r="D33" s="1" t="s">
        <v>16</v>
      </c>
      <c r="E33" s="1" t="s">
        <v>26</v>
      </c>
      <c r="F33" s="1" t="s">
        <v>101</v>
      </c>
      <c r="G33" s="1" t="s">
        <v>86</v>
      </c>
      <c r="H33" s="1" t="s">
        <v>19</v>
      </c>
      <c r="I33" s="2">
        <v>28</v>
      </c>
      <c r="J33" s="2">
        <v>1</v>
      </c>
      <c r="K33" s="2">
        <v>0</v>
      </c>
      <c r="L33" s="2">
        <v>2</v>
      </c>
      <c r="M33" s="1" t="b">
        <v>0</v>
      </c>
      <c r="N33" s="2">
        <v>17569</v>
      </c>
      <c r="O33" s="2">
        <v>146.52000000000001</v>
      </c>
      <c r="P33" s="2" t="s">
        <v>20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986DA-6EAA-4B7B-B754-638F98FDE4EB}">
  <sheetPr codeName="Sheet2"/>
  <dimension ref="A1:S33"/>
  <sheetViews>
    <sheetView workbookViewId="0"/>
  </sheetViews>
  <sheetFormatPr defaultRowHeight="12.95" customHeight="1" x14ac:dyDescent="0.25"/>
  <cols>
    <col min="1" max="1" width="14.28515625" customWidth="1"/>
    <col min="2" max="2" width="10.85546875" customWidth="1"/>
    <col min="3" max="3" width="16.28515625" customWidth="1"/>
    <col min="6" max="6" width="12.7109375" customWidth="1"/>
    <col min="7" max="7" width="15.28515625" customWidth="1"/>
    <col min="8" max="8" width="12.28515625" customWidth="1"/>
    <col min="14" max="14" width="13" customWidth="1"/>
    <col min="15" max="15" width="17.85546875" customWidth="1"/>
    <col min="19" max="19" width="12" customWidth="1"/>
  </cols>
  <sheetData>
    <row r="1" spans="1:19" ht="12.95" customHeight="1" x14ac:dyDescent="0.25">
      <c r="A1" s="8" t="s">
        <v>102</v>
      </c>
      <c r="B1" s="9" t="s">
        <v>0</v>
      </c>
      <c r="C1" s="9" t="s">
        <v>107</v>
      </c>
      <c r="D1" s="9" t="s">
        <v>1</v>
      </c>
      <c r="E1" s="9" t="s">
        <v>2</v>
      </c>
      <c r="F1" s="9" t="s">
        <v>87</v>
      </c>
      <c r="G1" s="9" t="s">
        <v>88</v>
      </c>
      <c r="H1" s="9" t="s">
        <v>90</v>
      </c>
      <c r="I1" s="9" t="s">
        <v>3</v>
      </c>
      <c r="J1" s="9" t="s">
        <v>4</v>
      </c>
      <c r="K1" s="9" t="s">
        <v>111</v>
      </c>
      <c r="L1" s="9" t="s">
        <v>5</v>
      </c>
      <c r="M1" s="9" t="s">
        <v>6</v>
      </c>
      <c r="N1" s="9" t="s">
        <v>91</v>
      </c>
      <c r="O1" s="9" t="s">
        <v>103</v>
      </c>
      <c r="P1" s="9" t="s">
        <v>7</v>
      </c>
      <c r="Q1" s="9" t="s">
        <v>8</v>
      </c>
      <c r="R1" s="10" t="s">
        <v>113</v>
      </c>
      <c r="S1" s="10" t="s">
        <v>9</v>
      </c>
    </row>
    <row r="2" spans="1:19" ht="12.95" customHeight="1" x14ac:dyDescent="0.25">
      <c r="A2" s="6">
        <v>1</v>
      </c>
      <c r="B2" s="2">
        <v>0</v>
      </c>
      <c r="C2" s="2" t="str">
        <f>IF(Table1[[#This Row],[Survived]]=1,"Survived","Not Survived")</f>
        <v>Not Survived</v>
      </c>
      <c r="D2" s="2">
        <v>3</v>
      </c>
      <c r="E2" s="1" t="s">
        <v>10</v>
      </c>
      <c r="F2" s="1" t="s">
        <v>11</v>
      </c>
      <c r="G2" s="1" t="s">
        <v>12</v>
      </c>
      <c r="H2" s="1" t="s">
        <v>13</v>
      </c>
      <c r="I2" s="1" t="s">
        <v>14</v>
      </c>
      <c r="J2" s="2">
        <v>22</v>
      </c>
      <c r="K2" s="2" t="str">
        <f>IF(Table1[[#This Row],[Age]]="","Unknown",
IF(Table1[[#This Row],[Age]]&lt;13,"Child",
IF(Table1[[#This Row],[Age]]&lt;20,"Teen",
IF(Table1[[#This Row],[Age]]&lt;40,"Adult","Senior"))))</f>
        <v>Adult</v>
      </c>
      <c r="L2" s="2">
        <v>1</v>
      </c>
      <c r="M2" s="2">
        <v>0</v>
      </c>
      <c r="N2" s="2">
        <v>2</v>
      </c>
      <c r="O2" s="2" t="str">
        <f t="shared" ref="O2:O33" si="0">IF(N2&gt;1, "With Family", "Alone")</f>
        <v>With Family</v>
      </c>
      <c r="P2" s="2">
        <v>521171</v>
      </c>
      <c r="Q2" s="2">
        <v>7.25</v>
      </c>
      <c r="R2" s="7" t="str">
        <f>IF(Table1[[#This Row],[Fare]]&lt;20,"Low Fare",
IF(Table1[[#This Row],[Fare]]&lt;50,"Medium Fare","High Fare"))</f>
        <v>Low Fare</v>
      </c>
      <c r="S2" s="7" t="s">
        <v>15</v>
      </c>
    </row>
    <row r="3" spans="1:19" ht="12.95" customHeight="1" x14ac:dyDescent="0.25">
      <c r="A3" s="6">
        <v>2</v>
      </c>
      <c r="B3" s="2">
        <v>1</v>
      </c>
      <c r="C3" s="2" t="str">
        <f>IF(Table1[[#This Row],[Survived]]=1,"Survived","Not Survived")</f>
        <v>Survived</v>
      </c>
      <c r="D3" s="2">
        <v>1</v>
      </c>
      <c r="E3" s="1" t="s">
        <v>16</v>
      </c>
      <c r="F3" s="1" t="s">
        <v>17</v>
      </c>
      <c r="G3" s="1" t="s">
        <v>92</v>
      </c>
      <c r="H3" s="1" t="s">
        <v>18</v>
      </c>
      <c r="I3" s="1" t="s">
        <v>19</v>
      </c>
      <c r="J3" s="2">
        <v>38</v>
      </c>
      <c r="K3" s="2" t="str">
        <f>IF(Table1[[#This Row],[Age]]="","Unknown",
IF(Table1[[#This Row],[Age]]&lt;13,"Child",
IF(Table1[[#This Row],[Age]]&lt;20,"Teen",
IF(Table1[[#This Row],[Age]]&lt;40,"Adult","Senior"))))</f>
        <v>Adult</v>
      </c>
      <c r="L3" s="2">
        <v>1</v>
      </c>
      <c r="M3" s="2">
        <v>0</v>
      </c>
      <c r="N3" s="2">
        <v>2</v>
      </c>
      <c r="O3" s="2" t="str">
        <f t="shared" si="0"/>
        <v>With Family</v>
      </c>
      <c r="P3" s="2">
        <v>17599</v>
      </c>
      <c r="Q3" s="2">
        <v>71.28</v>
      </c>
      <c r="R3" s="7" t="str">
        <f>IF(Table1[[#This Row],[Fare]]&lt;20,"Low Fare",
IF(Table1[[#This Row],[Fare]]&lt;50,"Medium Fare","High Fare"))</f>
        <v>High Fare</v>
      </c>
      <c r="S3" s="7" t="s">
        <v>20</v>
      </c>
    </row>
    <row r="4" spans="1:19" ht="12.95" customHeight="1" x14ac:dyDescent="0.25">
      <c r="A4" s="6">
        <v>3</v>
      </c>
      <c r="B4" s="2">
        <v>1</v>
      </c>
      <c r="C4" s="2" t="str">
        <f>IF(Table1[[#This Row],[Survived]]=1,"Survived","Not Survived")</f>
        <v>Survived</v>
      </c>
      <c r="D4" s="2">
        <v>3</v>
      </c>
      <c r="E4" s="1" t="s">
        <v>21</v>
      </c>
      <c r="F4" s="1" t="s">
        <v>22</v>
      </c>
      <c r="G4" s="1"/>
      <c r="H4" s="1" t="s">
        <v>23</v>
      </c>
      <c r="I4" s="1" t="s">
        <v>19</v>
      </c>
      <c r="J4" s="2">
        <v>26</v>
      </c>
      <c r="K4" s="2" t="str">
        <f>IF(Table1[[#This Row],[Age]]="","Unknown",
IF(Table1[[#This Row],[Age]]&lt;13,"Child",
IF(Table1[[#This Row],[Age]]&lt;20,"Teen",
IF(Table1[[#This Row],[Age]]&lt;40,"Adult","Senior"))))</f>
        <v>Adult</v>
      </c>
      <c r="L4" s="2">
        <v>0</v>
      </c>
      <c r="M4" s="2">
        <v>0</v>
      </c>
      <c r="N4" s="2">
        <v>1</v>
      </c>
      <c r="O4" s="2" t="str">
        <f t="shared" si="0"/>
        <v>Alone</v>
      </c>
      <c r="P4" s="2">
        <v>23101282</v>
      </c>
      <c r="Q4" s="2">
        <v>7.92</v>
      </c>
      <c r="R4" s="7" t="str">
        <f>IF(Table1[[#This Row],[Fare]]&lt;20,"Low Fare",
IF(Table1[[#This Row],[Fare]]&lt;50,"Medium Fare","High Fare"))</f>
        <v>Low Fare</v>
      </c>
      <c r="S4" s="7" t="s">
        <v>15</v>
      </c>
    </row>
    <row r="5" spans="1:19" ht="12.95" customHeight="1" x14ac:dyDescent="0.25">
      <c r="A5" s="6">
        <v>4</v>
      </c>
      <c r="B5" s="2">
        <v>1</v>
      </c>
      <c r="C5" s="2" t="str">
        <f>IF(Table1[[#This Row],[Survived]]=1,"Survived","Not Survived")</f>
        <v>Survived</v>
      </c>
      <c r="D5" s="2">
        <v>1</v>
      </c>
      <c r="E5" s="1" t="s">
        <v>16</v>
      </c>
      <c r="F5" s="1" t="s">
        <v>24</v>
      </c>
      <c r="G5" s="1" t="s">
        <v>95</v>
      </c>
      <c r="H5" s="1" t="s">
        <v>25</v>
      </c>
      <c r="I5" s="1" t="s">
        <v>19</v>
      </c>
      <c r="J5" s="2">
        <v>35</v>
      </c>
      <c r="K5" s="2" t="str">
        <f>IF(Table1[[#This Row],[Age]]="","Unknown",
IF(Table1[[#This Row],[Age]]&lt;13,"Child",
IF(Table1[[#This Row],[Age]]&lt;20,"Teen",
IF(Table1[[#This Row],[Age]]&lt;40,"Adult","Senior"))))</f>
        <v>Adult</v>
      </c>
      <c r="L5" s="2">
        <v>1</v>
      </c>
      <c r="M5" s="2">
        <v>0</v>
      </c>
      <c r="N5" s="2">
        <v>2</v>
      </c>
      <c r="O5" s="2" t="str">
        <f t="shared" si="0"/>
        <v>With Family</v>
      </c>
      <c r="P5" s="2">
        <v>113803</v>
      </c>
      <c r="Q5" s="2">
        <v>53.1</v>
      </c>
      <c r="R5" s="7" t="str">
        <f>IF(Table1[[#This Row],[Fare]]&lt;20,"Low Fare",
IF(Table1[[#This Row],[Fare]]&lt;50,"Medium Fare","High Fare"))</f>
        <v>High Fare</v>
      </c>
      <c r="S5" s="7" t="s">
        <v>15</v>
      </c>
    </row>
    <row r="6" spans="1:19" ht="12.95" customHeight="1" x14ac:dyDescent="0.25">
      <c r="A6" s="6">
        <v>5</v>
      </c>
      <c r="B6" s="2">
        <v>0</v>
      </c>
      <c r="C6" s="2" t="str">
        <f>IF(Table1[[#This Row],[Survived]]=1,"Survived","Not Survived")</f>
        <v>Not Survived</v>
      </c>
      <c r="D6" s="2">
        <v>3</v>
      </c>
      <c r="E6" s="1" t="s">
        <v>10</v>
      </c>
      <c r="F6" s="1" t="s">
        <v>26</v>
      </c>
      <c r="G6" s="1" t="s">
        <v>27</v>
      </c>
      <c r="H6" s="1" t="s">
        <v>28</v>
      </c>
      <c r="I6" s="1" t="s">
        <v>14</v>
      </c>
      <c r="J6" s="2">
        <v>35</v>
      </c>
      <c r="K6" s="2" t="str">
        <f>IF(Table1[[#This Row],[Age]]="","Unknown",
IF(Table1[[#This Row],[Age]]&lt;13,"Child",
IF(Table1[[#This Row],[Age]]&lt;20,"Teen",
IF(Table1[[#This Row],[Age]]&lt;40,"Adult","Senior"))))</f>
        <v>Adult</v>
      </c>
      <c r="L6" s="2">
        <v>0</v>
      </c>
      <c r="M6" s="2">
        <v>0</v>
      </c>
      <c r="N6" s="2">
        <v>1</v>
      </c>
      <c r="O6" s="2" t="str">
        <f t="shared" si="0"/>
        <v>Alone</v>
      </c>
      <c r="P6" s="2">
        <v>373450</v>
      </c>
      <c r="Q6" s="2">
        <v>8.0500000000000007</v>
      </c>
      <c r="R6" s="7" t="str">
        <f>IF(Table1[[#This Row],[Fare]]&lt;20,"Low Fare",
IF(Table1[[#This Row],[Fare]]&lt;50,"Medium Fare","High Fare"))</f>
        <v>Low Fare</v>
      </c>
      <c r="S6" s="7" t="s">
        <v>15</v>
      </c>
    </row>
    <row r="7" spans="1:19" ht="12.95" customHeight="1" x14ac:dyDescent="0.25">
      <c r="A7" s="6">
        <v>6</v>
      </c>
      <c r="B7" s="2">
        <v>0</v>
      </c>
      <c r="C7" s="2" t="str">
        <f>IF(Table1[[#This Row],[Survived]]=1,"Survived","Not Survived")</f>
        <v>Not Survived</v>
      </c>
      <c r="D7" s="2">
        <v>3</v>
      </c>
      <c r="E7" s="1" t="s">
        <v>10</v>
      </c>
      <c r="F7" s="1" t="s">
        <v>29</v>
      </c>
      <c r="G7" s="1"/>
      <c r="H7" s="1" t="s">
        <v>30</v>
      </c>
      <c r="I7" s="1" t="s">
        <v>14</v>
      </c>
      <c r="J7" s="2">
        <v>28</v>
      </c>
      <c r="K7" s="2" t="str">
        <f>IF(Table1[[#This Row],[Age]]="","Unknown",
IF(Table1[[#This Row],[Age]]&lt;13,"Child",
IF(Table1[[#This Row],[Age]]&lt;20,"Teen",
IF(Table1[[#This Row],[Age]]&lt;40,"Adult","Senior"))))</f>
        <v>Adult</v>
      </c>
      <c r="L7" s="2">
        <v>0</v>
      </c>
      <c r="M7" s="2">
        <v>0</v>
      </c>
      <c r="N7" s="2">
        <v>1</v>
      </c>
      <c r="O7" s="2" t="str">
        <f t="shared" si="0"/>
        <v>Alone</v>
      </c>
      <c r="P7" s="2">
        <v>330877</v>
      </c>
      <c r="Q7" s="2">
        <v>8.4600000000000009</v>
      </c>
      <c r="R7" s="7" t="str">
        <f>IF(Table1[[#This Row],[Fare]]&lt;20,"Low Fare",
IF(Table1[[#This Row],[Fare]]&lt;50,"Medium Fare","High Fare"))</f>
        <v>Low Fare</v>
      </c>
      <c r="S7" s="7" t="s">
        <v>31</v>
      </c>
    </row>
    <row r="8" spans="1:19" ht="12.95" customHeight="1" x14ac:dyDescent="0.25">
      <c r="A8" s="6">
        <v>7</v>
      </c>
      <c r="B8" s="2">
        <v>0</v>
      </c>
      <c r="C8" s="2" t="str">
        <f>IF(Table1[[#This Row],[Survived]]=1,"Survived","Not Survived")</f>
        <v>Not Survived</v>
      </c>
      <c r="D8" s="2">
        <v>1</v>
      </c>
      <c r="E8" s="1" t="s">
        <v>10</v>
      </c>
      <c r="F8" s="1" t="s">
        <v>32</v>
      </c>
      <c r="G8" s="1" t="s">
        <v>33</v>
      </c>
      <c r="H8" s="1" t="s">
        <v>34</v>
      </c>
      <c r="I8" s="1" t="s">
        <v>14</v>
      </c>
      <c r="J8" s="2">
        <v>54</v>
      </c>
      <c r="K8" s="2" t="str">
        <f>IF(Table1[[#This Row],[Age]]="","Unknown",
IF(Table1[[#This Row],[Age]]&lt;13,"Child",
IF(Table1[[#This Row],[Age]]&lt;20,"Teen",
IF(Table1[[#This Row],[Age]]&lt;40,"Adult","Senior"))))</f>
        <v>Senior</v>
      </c>
      <c r="L8" s="2">
        <v>0</v>
      </c>
      <c r="M8" s="2">
        <v>0</v>
      </c>
      <c r="N8" s="2">
        <v>1</v>
      </c>
      <c r="O8" s="2" t="str">
        <f t="shared" si="0"/>
        <v>Alone</v>
      </c>
      <c r="P8" s="2">
        <v>17463</v>
      </c>
      <c r="Q8" s="2">
        <v>51.86</v>
      </c>
      <c r="R8" s="7" t="str">
        <f>IF(Table1[[#This Row],[Fare]]&lt;20,"Low Fare",
IF(Table1[[#This Row],[Fare]]&lt;50,"Medium Fare","High Fare"))</f>
        <v>High Fare</v>
      </c>
      <c r="S8" s="7" t="s">
        <v>15</v>
      </c>
    </row>
    <row r="9" spans="1:19" ht="12.95" customHeight="1" x14ac:dyDescent="0.25">
      <c r="A9" s="6">
        <v>8</v>
      </c>
      <c r="B9" s="2">
        <v>0</v>
      </c>
      <c r="C9" s="2" t="str">
        <f>IF(Table1[[#This Row],[Survived]]=1,"Survived","Not Survived")</f>
        <v>Not Survived</v>
      </c>
      <c r="D9" s="2">
        <v>3</v>
      </c>
      <c r="E9" s="1" t="s">
        <v>35</v>
      </c>
      <c r="F9" s="1" t="s">
        <v>36</v>
      </c>
      <c r="G9" s="1" t="s">
        <v>37</v>
      </c>
      <c r="H9" s="1" t="s">
        <v>38</v>
      </c>
      <c r="I9" s="1" t="s">
        <v>14</v>
      </c>
      <c r="J9" s="2">
        <v>2</v>
      </c>
      <c r="K9" s="2" t="str">
        <f>IF(Table1[[#This Row],[Age]]="","Unknown",
IF(Table1[[#This Row],[Age]]&lt;13,"Child",
IF(Table1[[#This Row],[Age]]&lt;20,"Teen",
IF(Table1[[#This Row],[Age]]&lt;40,"Adult","Senior"))))</f>
        <v>Child</v>
      </c>
      <c r="L9" s="2">
        <v>3</v>
      </c>
      <c r="M9" s="2">
        <v>1</v>
      </c>
      <c r="N9" s="2">
        <v>5</v>
      </c>
      <c r="O9" s="2" t="str">
        <f t="shared" si="0"/>
        <v>With Family</v>
      </c>
      <c r="P9" s="2">
        <v>349909</v>
      </c>
      <c r="Q9" s="2">
        <v>21.08</v>
      </c>
      <c r="R9" s="7" t="str">
        <f>IF(Table1[[#This Row],[Fare]]&lt;20,"Low Fare",
IF(Table1[[#This Row],[Fare]]&lt;50,"Medium Fare","High Fare"))</f>
        <v>Medium Fare</v>
      </c>
      <c r="S9" s="7" t="s">
        <v>15</v>
      </c>
    </row>
    <row r="10" spans="1:19" ht="12.95" customHeight="1" x14ac:dyDescent="0.25">
      <c r="A10" s="6">
        <v>9</v>
      </c>
      <c r="B10" s="2">
        <v>1</v>
      </c>
      <c r="C10" s="2" t="str">
        <f>IF(Table1[[#This Row],[Survived]]=1,"Survived","Not Survived")</f>
        <v>Survived</v>
      </c>
      <c r="D10" s="2">
        <v>3</v>
      </c>
      <c r="E10" s="1" t="s">
        <v>16</v>
      </c>
      <c r="F10" s="1" t="s">
        <v>39</v>
      </c>
      <c r="G10" s="1" t="s">
        <v>93</v>
      </c>
      <c r="H10" s="1" t="s">
        <v>40</v>
      </c>
      <c r="I10" s="1" t="s">
        <v>19</v>
      </c>
      <c r="J10" s="2">
        <v>27</v>
      </c>
      <c r="K10" s="2" t="str">
        <f>IF(Table1[[#This Row],[Age]]="","Unknown",
IF(Table1[[#This Row],[Age]]&lt;13,"Child",
IF(Table1[[#This Row],[Age]]&lt;20,"Teen",
IF(Table1[[#This Row],[Age]]&lt;40,"Adult","Senior"))))</f>
        <v>Adult</v>
      </c>
      <c r="L10" s="2">
        <v>0</v>
      </c>
      <c r="M10" s="2">
        <v>2</v>
      </c>
      <c r="N10" s="2">
        <v>3</v>
      </c>
      <c r="O10" s="2" t="str">
        <f t="shared" si="0"/>
        <v>With Family</v>
      </c>
      <c r="P10" s="2">
        <v>347742</v>
      </c>
      <c r="Q10" s="2">
        <v>11.13</v>
      </c>
      <c r="R10" s="7" t="str">
        <f>IF(Table1[[#This Row],[Fare]]&lt;20,"Low Fare",
IF(Table1[[#This Row],[Fare]]&lt;50,"Medium Fare","High Fare"))</f>
        <v>Low Fare</v>
      </c>
      <c r="S10" s="7" t="s">
        <v>15</v>
      </c>
    </row>
    <row r="11" spans="1:19" ht="12.95" customHeight="1" x14ac:dyDescent="0.25">
      <c r="A11" s="6">
        <v>10</v>
      </c>
      <c r="B11" s="2">
        <v>1</v>
      </c>
      <c r="C11" s="2" t="str">
        <f>IF(Table1[[#This Row],[Survived]]=1,"Survived","Not Survived")</f>
        <v>Survived</v>
      </c>
      <c r="D11" s="2">
        <v>2</v>
      </c>
      <c r="E11" s="1" t="s">
        <v>16</v>
      </c>
      <c r="F11" s="1" t="s">
        <v>41</v>
      </c>
      <c r="G11" s="1" t="s">
        <v>94</v>
      </c>
      <c r="H11" s="1" t="s">
        <v>42</v>
      </c>
      <c r="I11" s="1" t="s">
        <v>19</v>
      </c>
      <c r="J11" s="2">
        <v>14</v>
      </c>
      <c r="K11" s="2" t="str">
        <f>IF(Table1[[#This Row],[Age]]="","Unknown",
IF(Table1[[#This Row],[Age]]&lt;13,"Child",
IF(Table1[[#This Row],[Age]]&lt;20,"Teen",
IF(Table1[[#This Row],[Age]]&lt;40,"Adult","Senior"))))</f>
        <v>Teen</v>
      </c>
      <c r="L11" s="2">
        <v>1</v>
      </c>
      <c r="M11" s="2">
        <v>0</v>
      </c>
      <c r="N11" s="2">
        <v>2</v>
      </c>
      <c r="O11" s="2" t="str">
        <f t="shared" si="0"/>
        <v>With Family</v>
      </c>
      <c r="P11" s="2">
        <v>237736</v>
      </c>
      <c r="Q11" s="2">
        <v>30.07</v>
      </c>
      <c r="R11" s="7" t="str">
        <f>IF(Table1[[#This Row],[Fare]]&lt;20,"Low Fare",
IF(Table1[[#This Row],[Fare]]&lt;50,"Medium Fare","High Fare"))</f>
        <v>Medium Fare</v>
      </c>
      <c r="S11" s="7" t="s">
        <v>20</v>
      </c>
    </row>
    <row r="12" spans="1:19" ht="12.95" customHeight="1" x14ac:dyDescent="0.25">
      <c r="A12" s="6">
        <v>11</v>
      </c>
      <c r="B12" s="2">
        <v>1</v>
      </c>
      <c r="C12" s="2" t="str">
        <f>IF(Table1[[#This Row],[Survived]]=1,"Survived","Not Survived")</f>
        <v>Survived</v>
      </c>
      <c r="D12" s="2">
        <v>3</v>
      </c>
      <c r="E12" s="1" t="s">
        <v>21</v>
      </c>
      <c r="F12" s="1" t="s">
        <v>43</v>
      </c>
      <c r="G12" s="1" t="s">
        <v>44</v>
      </c>
      <c r="H12" s="1" t="s">
        <v>45</v>
      </c>
      <c r="I12" s="1" t="s">
        <v>19</v>
      </c>
      <c r="J12" s="2">
        <v>4</v>
      </c>
      <c r="K12" s="2" t="str">
        <f>IF(Table1[[#This Row],[Age]]="","Unknown",
IF(Table1[[#This Row],[Age]]&lt;13,"Child",
IF(Table1[[#This Row],[Age]]&lt;20,"Teen",
IF(Table1[[#This Row],[Age]]&lt;40,"Adult","Senior"))))</f>
        <v>Child</v>
      </c>
      <c r="L12" s="2">
        <v>1</v>
      </c>
      <c r="M12" s="2">
        <v>1</v>
      </c>
      <c r="N12" s="2">
        <v>3</v>
      </c>
      <c r="O12" s="2" t="str">
        <f t="shared" si="0"/>
        <v>With Family</v>
      </c>
      <c r="P12" s="2">
        <v>9549</v>
      </c>
      <c r="Q12" s="2">
        <v>16.7</v>
      </c>
      <c r="R12" s="7" t="str">
        <f>IF(Table1[[#This Row],[Fare]]&lt;20,"Low Fare",
IF(Table1[[#This Row],[Fare]]&lt;50,"Medium Fare","High Fare"))</f>
        <v>Low Fare</v>
      </c>
      <c r="S12" s="7" t="s">
        <v>15</v>
      </c>
    </row>
    <row r="13" spans="1:19" ht="12.95" customHeight="1" x14ac:dyDescent="0.25">
      <c r="A13" s="6">
        <v>12</v>
      </c>
      <c r="B13" s="2">
        <v>1</v>
      </c>
      <c r="C13" s="2" t="str">
        <f>IF(Table1[[#This Row],[Survived]]=1,"Survived","Not Survived")</f>
        <v>Survived</v>
      </c>
      <c r="D13" s="2">
        <v>1</v>
      </c>
      <c r="E13" s="1" t="s">
        <v>21</v>
      </c>
      <c r="F13" s="1" t="s">
        <v>46</v>
      </c>
      <c r="G13" s="1"/>
      <c r="H13" s="1" t="s">
        <v>47</v>
      </c>
      <c r="I13" s="1" t="s">
        <v>19</v>
      </c>
      <c r="J13" s="2">
        <v>58</v>
      </c>
      <c r="K13" s="2" t="str">
        <f>IF(Table1[[#This Row],[Age]]="","Unknown",
IF(Table1[[#This Row],[Age]]&lt;13,"Child",
IF(Table1[[#This Row],[Age]]&lt;20,"Teen",
IF(Table1[[#This Row],[Age]]&lt;40,"Adult","Senior"))))</f>
        <v>Senior</v>
      </c>
      <c r="L13" s="2">
        <v>0</v>
      </c>
      <c r="M13" s="2">
        <v>0</v>
      </c>
      <c r="N13" s="2">
        <v>1</v>
      </c>
      <c r="O13" s="2" t="str">
        <f t="shared" si="0"/>
        <v>Alone</v>
      </c>
      <c r="P13" s="2">
        <v>113783</v>
      </c>
      <c r="Q13" s="2">
        <v>26.55</v>
      </c>
      <c r="R13" s="7" t="str">
        <f>IF(Table1[[#This Row],[Fare]]&lt;20,"Low Fare",
IF(Table1[[#This Row],[Fare]]&lt;50,"Medium Fare","High Fare"))</f>
        <v>Medium Fare</v>
      </c>
      <c r="S13" s="7" t="s">
        <v>15</v>
      </c>
    </row>
    <row r="14" spans="1:19" ht="12.95" customHeight="1" x14ac:dyDescent="0.25">
      <c r="A14" s="6">
        <v>13</v>
      </c>
      <c r="B14" s="2">
        <v>0</v>
      </c>
      <c r="C14" s="2" t="str">
        <f>IF(Table1[[#This Row],[Survived]]=1,"Survived","Not Survived")</f>
        <v>Not Survived</v>
      </c>
      <c r="D14" s="2">
        <v>3</v>
      </c>
      <c r="E14" s="1" t="s">
        <v>10</v>
      </c>
      <c r="F14" s="1" t="s">
        <v>26</v>
      </c>
      <c r="G14" s="1" t="s">
        <v>27</v>
      </c>
      <c r="H14" s="1" t="s">
        <v>48</v>
      </c>
      <c r="I14" s="1" t="s">
        <v>14</v>
      </c>
      <c r="J14" s="2">
        <v>20</v>
      </c>
      <c r="K14" s="2" t="str">
        <f>IF(Table1[[#This Row],[Age]]="","Unknown",
IF(Table1[[#This Row],[Age]]&lt;13,"Child",
IF(Table1[[#This Row],[Age]]&lt;20,"Teen",
IF(Table1[[#This Row],[Age]]&lt;40,"Adult","Senior"))))</f>
        <v>Adult</v>
      </c>
      <c r="L14" s="2">
        <v>0</v>
      </c>
      <c r="M14" s="2">
        <v>0</v>
      </c>
      <c r="N14" s="2">
        <v>1</v>
      </c>
      <c r="O14" s="2" t="str">
        <f t="shared" si="0"/>
        <v>Alone</v>
      </c>
      <c r="P14" s="2">
        <v>52151</v>
      </c>
      <c r="Q14" s="2">
        <v>8.0500000000000007</v>
      </c>
      <c r="R14" s="7" t="str">
        <f>IF(Table1[[#This Row],[Fare]]&lt;20,"Low Fare",
IF(Table1[[#This Row],[Fare]]&lt;50,"Medium Fare","High Fare"))</f>
        <v>Low Fare</v>
      </c>
      <c r="S14" s="7" t="s">
        <v>15</v>
      </c>
    </row>
    <row r="15" spans="1:19" ht="12.95" customHeight="1" x14ac:dyDescent="0.25">
      <c r="A15" s="6">
        <v>14</v>
      </c>
      <c r="B15" s="2">
        <v>0</v>
      </c>
      <c r="C15" s="2" t="str">
        <f>IF(Table1[[#This Row],[Survived]]=1,"Survived","Not Survived")</f>
        <v>Not Survived</v>
      </c>
      <c r="D15" s="2">
        <v>3</v>
      </c>
      <c r="E15" s="1" t="s">
        <v>10</v>
      </c>
      <c r="F15" s="1" t="s">
        <v>49</v>
      </c>
      <c r="G15" s="1" t="s">
        <v>50</v>
      </c>
      <c r="H15" s="1" t="s">
        <v>51</v>
      </c>
      <c r="I15" s="1" t="s">
        <v>14</v>
      </c>
      <c r="J15" s="2">
        <v>39</v>
      </c>
      <c r="K15" s="2" t="str">
        <f>IF(Table1[[#This Row],[Age]]="","Unknown",
IF(Table1[[#This Row],[Age]]&lt;13,"Child",
IF(Table1[[#This Row],[Age]]&lt;20,"Teen",
IF(Table1[[#This Row],[Age]]&lt;40,"Adult","Senior"))))</f>
        <v>Adult</v>
      </c>
      <c r="L15" s="2">
        <v>1</v>
      </c>
      <c r="M15" s="2">
        <v>5</v>
      </c>
      <c r="N15" s="2">
        <v>7</v>
      </c>
      <c r="O15" s="2" t="str">
        <f t="shared" si="0"/>
        <v>With Family</v>
      </c>
      <c r="P15" s="2">
        <v>347082</v>
      </c>
      <c r="Q15" s="2">
        <v>31.28</v>
      </c>
      <c r="R15" s="7" t="str">
        <f>IF(Table1[[#This Row],[Fare]]&lt;20,"Low Fare",
IF(Table1[[#This Row],[Fare]]&lt;50,"Medium Fare","High Fare"))</f>
        <v>Medium Fare</v>
      </c>
      <c r="S15" s="7" t="s">
        <v>15</v>
      </c>
    </row>
    <row r="16" spans="1:19" ht="12.95" customHeight="1" x14ac:dyDescent="0.25">
      <c r="A16" s="6">
        <v>15</v>
      </c>
      <c r="B16" s="2">
        <v>1</v>
      </c>
      <c r="C16" s="2" t="str">
        <f>IF(Table1[[#This Row],[Survived]]=1,"Survived","Not Survived")</f>
        <v>Survived</v>
      </c>
      <c r="D16" s="2">
        <v>3</v>
      </c>
      <c r="E16" s="1" t="s">
        <v>21</v>
      </c>
      <c r="F16" s="1" t="s">
        <v>52</v>
      </c>
      <c r="G16" s="1"/>
      <c r="H16" s="1" t="s">
        <v>53</v>
      </c>
      <c r="I16" s="1" t="s">
        <v>19</v>
      </c>
      <c r="J16" s="2">
        <v>15</v>
      </c>
      <c r="K16" s="2" t="str">
        <f>IF(Table1[[#This Row],[Age]]="","Unknown",
IF(Table1[[#This Row],[Age]]&lt;13,"Child",
IF(Table1[[#This Row],[Age]]&lt;20,"Teen",
IF(Table1[[#This Row],[Age]]&lt;40,"Adult","Senior"))))</f>
        <v>Teen</v>
      </c>
      <c r="L16" s="2">
        <v>0</v>
      </c>
      <c r="M16" s="2">
        <v>0</v>
      </c>
      <c r="N16" s="2">
        <v>1</v>
      </c>
      <c r="O16" s="2" t="str">
        <f t="shared" si="0"/>
        <v>Alone</v>
      </c>
      <c r="P16" s="2">
        <v>330923</v>
      </c>
      <c r="Q16" s="2">
        <v>8.0299999999999994</v>
      </c>
      <c r="R16" s="7" t="str">
        <f>IF(Table1[[#This Row],[Fare]]&lt;20,"Low Fare",
IF(Table1[[#This Row],[Fare]]&lt;50,"Medium Fare","High Fare"))</f>
        <v>Low Fare</v>
      </c>
      <c r="S16" s="7" t="s">
        <v>31</v>
      </c>
    </row>
    <row r="17" spans="1:19" ht="12.95" customHeight="1" x14ac:dyDescent="0.25">
      <c r="A17" s="6">
        <v>16</v>
      </c>
      <c r="B17" s="2">
        <v>1</v>
      </c>
      <c r="C17" s="2" t="str">
        <f>IF(Table1[[#This Row],[Survived]]=1,"Survived","Not Survived")</f>
        <v>Survived</v>
      </c>
      <c r="D17" s="2">
        <v>2</v>
      </c>
      <c r="E17" s="1" t="s">
        <v>16</v>
      </c>
      <c r="F17" s="1" t="s">
        <v>97</v>
      </c>
      <c r="G17" s="1" t="s">
        <v>96</v>
      </c>
      <c r="H17" s="1" t="s">
        <v>54</v>
      </c>
      <c r="I17" s="1" t="s">
        <v>19</v>
      </c>
      <c r="J17" s="2">
        <v>55</v>
      </c>
      <c r="K17" s="2" t="str">
        <f>IF(Table1[[#This Row],[Age]]="","Unknown",
IF(Table1[[#This Row],[Age]]&lt;13,"Child",
IF(Table1[[#This Row],[Age]]&lt;20,"Teen",
IF(Table1[[#This Row],[Age]]&lt;40,"Adult","Senior"))))</f>
        <v>Senior</v>
      </c>
      <c r="L17" s="2">
        <v>0</v>
      </c>
      <c r="M17" s="2">
        <v>0</v>
      </c>
      <c r="N17" s="2">
        <v>1</v>
      </c>
      <c r="O17" s="2" t="str">
        <f t="shared" si="0"/>
        <v>Alone</v>
      </c>
      <c r="P17" s="2">
        <v>248706</v>
      </c>
      <c r="Q17" s="2">
        <v>16</v>
      </c>
      <c r="R17" s="7" t="str">
        <f>IF(Table1[[#This Row],[Fare]]&lt;20,"Low Fare",
IF(Table1[[#This Row],[Fare]]&lt;50,"Medium Fare","High Fare"))</f>
        <v>Low Fare</v>
      </c>
      <c r="S17" s="7" t="s">
        <v>15</v>
      </c>
    </row>
    <row r="18" spans="1:19" ht="12.95" customHeight="1" x14ac:dyDescent="0.25">
      <c r="A18" s="6">
        <v>17</v>
      </c>
      <c r="B18" s="2">
        <v>0</v>
      </c>
      <c r="C18" s="2" t="str">
        <f>IF(Table1[[#This Row],[Survived]]=1,"Survived","Not Survived")</f>
        <v>Not Survived</v>
      </c>
      <c r="D18" s="2">
        <v>3</v>
      </c>
      <c r="E18" s="1" t="s">
        <v>35</v>
      </c>
      <c r="F18" s="1" t="s">
        <v>55</v>
      </c>
      <c r="G18" s="1"/>
      <c r="H18" s="1" t="s">
        <v>56</v>
      </c>
      <c r="I18" s="1" t="s">
        <v>14</v>
      </c>
      <c r="J18" s="2">
        <v>2</v>
      </c>
      <c r="K18" s="2" t="str">
        <f>IF(Table1[[#This Row],[Age]]="","Unknown",
IF(Table1[[#This Row],[Age]]&lt;13,"Child",
IF(Table1[[#This Row],[Age]]&lt;20,"Teen",
IF(Table1[[#This Row],[Age]]&lt;40,"Adult","Senior"))))</f>
        <v>Child</v>
      </c>
      <c r="L18" s="2">
        <v>4</v>
      </c>
      <c r="M18" s="2">
        <v>1</v>
      </c>
      <c r="N18" s="2">
        <v>6</v>
      </c>
      <c r="O18" s="2" t="str">
        <f t="shared" si="0"/>
        <v>With Family</v>
      </c>
      <c r="P18" s="2">
        <v>382652</v>
      </c>
      <c r="Q18" s="2">
        <v>29.12</v>
      </c>
      <c r="R18" s="7" t="str">
        <f>IF(Table1[[#This Row],[Fare]]&lt;20,"Low Fare",
IF(Table1[[#This Row],[Fare]]&lt;50,"Medium Fare","High Fare"))</f>
        <v>Medium Fare</v>
      </c>
      <c r="S18" s="7" t="s">
        <v>31</v>
      </c>
    </row>
    <row r="19" spans="1:19" ht="12.95" customHeight="1" x14ac:dyDescent="0.25">
      <c r="A19" s="6">
        <v>18</v>
      </c>
      <c r="B19" s="2">
        <v>1</v>
      </c>
      <c r="C19" s="2" t="str">
        <f>IF(Table1[[#This Row],[Survived]]=1,"Survived","Not Survived")</f>
        <v>Survived</v>
      </c>
      <c r="D19" s="2">
        <v>2</v>
      </c>
      <c r="E19" s="1" t="s">
        <v>10</v>
      </c>
      <c r="F19" s="1" t="s">
        <v>57</v>
      </c>
      <c r="G19" s="1" t="s">
        <v>55</v>
      </c>
      <c r="H19" s="1" t="s">
        <v>58</v>
      </c>
      <c r="I19" s="1" t="s">
        <v>14</v>
      </c>
      <c r="J19" s="2">
        <v>28</v>
      </c>
      <c r="K19" s="2" t="str">
        <f>IF(Table1[[#This Row],[Age]]="","Unknown",
IF(Table1[[#This Row],[Age]]&lt;13,"Child",
IF(Table1[[#This Row],[Age]]&lt;20,"Teen",
IF(Table1[[#This Row],[Age]]&lt;40,"Adult","Senior"))))</f>
        <v>Adult</v>
      </c>
      <c r="L19" s="2">
        <v>0</v>
      </c>
      <c r="M19" s="2">
        <v>0</v>
      </c>
      <c r="N19" s="2">
        <v>1</v>
      </c>
      <c r="O19" s="2" t="str">
        <f t="shared" si="0"/>
        <v>Alone</v>
      </c>
      <c r="P19" s="2">
        <v>244373</v>
      </c>
      <c r="Q19" s="2">
        <v>13</v>
      </c>
      <c r="R19" s="7" t="str">
        <f>IF(Table1[[#This Row],[Fare]]&lt;20,"Low Fare",
IF(Table1[[#This Row],[Fare]]&lt;50,"Medium Fare","High Fare"))</f>
        <v>Low Fare</v>
      </c>
      <c r="S19" s="7" t="s">
        <v>15</v>
      </c>
    </row>
    <row r="20" spans="1:19" ht="12.95" customHeight="1" x14ac:dyDescent="0.25">
      <c r="A20" s="6">
        <v>19</v>
      </c>
      <c r="B20" s="2">
        <v>0</v>
      </c>
      <c r="C20" s="2" t="str">
        <f>IF(Table1[[#This Row],[Survived]]=1,"Survived","Not Survived")</f>
        <v>Not Survived</v>
      </c>
      <c r="D20" s="2">
        <v>3</v>
      </c>
      <c r="E20" s="1" t="s">
        <v>16</v>
      </c>
      <c r="F20" s="1" t="s">
        <v>59</v>
      </c>
      <c r="G20" s="1" t="s">
        <v>98</v>
      </c>
      <c r="H20" s="1" t="s">
        <v>60</v>
      </c>
      <c r="I20" s="1" t="s">
        <v>19</v>
      </c>
      <c r="J20" s="2">
        <v>31</v>
      </c>
      <c r="K20" s="2" t="str">
        <f>IF(Table1[[#This Row],[Age]]="","Unknown",
IF(Table1[[#This Row],[Age]]&lt;13,"Child",
IF(Table1[[#This Row],[Age]]&lt;20,"Teen",
IF(Table1[[#This Row],[Age]]&lt;40,"Adult","Senior"))))</f>
        <v>Adult</v>
      </c>
      <c r="L20" s="2">
        <v>1</v>
      </c>
      <c r="M20" s="2">
        <v>0</v>
      </c>
      <c r="N20" s="2">
        <v>2</v>
      </c>
      <c r="O20" s="2" t="str">
        <f t="shared" si="0"/>
        <v>With Family</v>
      </c>
      <c r="P20" s="2">
        <v>345763</v>
      </c>
      <c r="Q20" s="2">
        <v>18</v>
      </c>
      <c r="R20" s="7" t="str">
        <f>IF(Table1[[#This Row],[Fare]]&lt;20,"Low Fare",
IF(Table1[[#This Row],[Fare]]&lt;50,"Medium Fare","High Fare"))</f>
        <v>Low Fare</v>
      </c>
      <c r="S20" s="7" t="s">
        <v>15</v>
      </c>
    </row>
    <row r="21" spans="1:19" ht="12.95" customHeight="1" x14ac:dyDescent="0.25">
      <c r="A21" s="6">
        <v>20</v>
      </c>
      <c r="B21" s="2">
        <v>1</v>
      </c>
      <c r="C21" s="2" t="str">
        <f>IF(Table1[[#This Row],[Survived]]=1,"Survived","Not Survived")</f>
        <v>Survived</v>
      </c>
      <c r="D21" s="2">
        <v>3</v>
      </c>
      <c r="E21" s="1" t="s">
        <v>16</v>
      </c>
      <c r="F21" s="1" t="s">
        <v>61</v>
      </c>
      <c r="G21" s="1"/>
      <c r="H21" s="1" t="s">
        <v>62</v>
      </c>
      <c r="I21" s="1" t="s">
        <v>19</v>
      </c>
      <c r="J21" s="2">
        <v>28</v>
      </c>
      <c r="K21" s="2" t="str">
        <f>IF(Table1[[#This Row],[Age]]="","Unknown",
IF(Table1[[#This Row],[Age]]&lt;13,"Child",
IF(Table1[[#This Row],[Age]]&lt;20,"Teen",
IF(Table1[[#This Row],[Age]]&lt;40,"Adult","Senior"))))</f>
        <v>Adult</v>
      </c>
      <c r="L21" s="2">
        <v>0</v>
      </c>
      <c r="M21" s="2">
        <v>0</v>
      </c>
      <c r="N21" s="2">
        <v>1</v>
      </c>
      <c r="O21" s="2" t="str">
        <f t="shared" si="0"/>
        <v>Alone</v>
      </c>
      <c r="P21" s="2">
        <v>2649</v>
      </c>
      <c r="Q21" s="2">
        <v>7.22</v>
      </c>
      <c r="R21" s="7" t="str">
        <f>IF(Table1[[#This Row],[Fare]]&lt;20,"Low Fare",
IF(Table1[[#This Row],[Fare]]&lt;50,"Medium Fare","High Fare"))</f>
        <v>Low Fare</v>
      </c>
      <c r="S21" s="7" t="s">
        <v>20</v>
      </c>
    </row>
    <row r="22" spans="1:19" ht="12.95" customHeight="1" x14ac:dyDescent="0.25">
      <c r="A22" s="6">
        <v>21</v>
      </c>
      <c r="B22" s="2">
        <v>0</v>
      </c>
      <c r="C22" s="2" t="str">
        <f>IF(Table1[[#This Row],[Survived]]=1,"Survived","Not Survived")</f>
        <v>Not Survived</v>
      </c>
      <c r="D22" s="2">
        <v>2</v>
      </c>
      <c r="E22" s="1" t="s">
        <v>10</v>
      </c>
      <c r="F22" s="1" t="s">
        <v>63</v>
      </c>
      <c r="G22" s="1" t="s">
        <v>33</v>
      </c>
      <c r="H22" s="1" t="s">
        <v>64</v>
      </c>
      <c r="I22" s="1" t="s">
        <v>14</v>
      </c>
      <c r="J22" s="2">
        <v>35</v>
      </c>
      <c r="K22" s="2" t="str">
        <f>IF(Table1[[#This Row],[Age]]="","Unknown",
IF(Table1[[#This Row],[Age]]&lt;13,"Child",
IF(Table1[[#This Row],[Age]]&lt;20,"Teen",
IF(Table1[[#This Row],[Age]]&lt;40,"Adult","Senior"))))</f>
        <v>Adult</v>
      </c>
      <c r="L22" s="2">
        <v>0</v>
      </c>
      <c r="M22" s="2">
        <v>0</v>
      </c>
      <c r="N22" s="2">
        <v>1</v>
      </c>
      <c r="O22" s="2" t="str">
        <f t="shared" si="0"/>
        <v>Alone</v>
      </c>
      <c r="P22" s="2">
        <v>239865</v>
      </c>
      <c r="Q22" s="2">
        <v>26</v>
      </c>
      <c r="R22" s="7" t="str">
        <f>IF(Table1[[#This Row],[Fare]]&lt;20,"Low Fare",
IF(Table1[[#This Row],[Fare]]&lt;50,"Medium Fare","High Fare"))</f>
        <v>Medium Fare</v>
      </c>
      <c r="S22" s="7" t="s">
        <v>15</v>
      </c>
    </row>
    <row r="23" spans="1:19" ht="12.95" customHeight="1" x14ac:dyDescent="0.25">
      <c r="A23" s="6">
        <v>22</v>
      </c>
      <c r="B23" s="2">
        <v>1</v>
      </c>
      <c r="C23" s="2" t="str">
        <f>IF(Table1[[#This Row],[Survived]]=1,"Survived","Not Survived")</f>
        <v>Survived</v>
      </c>
      <c r="D23" s="2">
        <v>2</v>
      </c>
      <c r="E23" s="1" t="s">
        <v>10</v>
      </c>
      <c r="F23" s="1" t="s">
        <v>65</v>
      </c>
      <c r="G23" s="1"/>
      <c r="H23" s="1" t="s">
        <v>66</v>
      </c>
      <c r="I23" s="1" t="s">
        <v>14</v>
      </c>
      <c r="J23" s="2">
        <v>34</v>
      </c>
      <c r="K23" s="2" t="str">
        <f>IF(Table1[[#This Row],[Age]]="","Unknown",
IF(Table1[[#This Row],[Age]]&lt;13,"Child",
IF(Table1[[#This Row],[Age]]&lt;20,"Teen",
IF(Table1[[#This Row],[Age]]&lt;40,"Adult","Senior"))))</f>
        <v>Adult</v>
      </c>
      <c r="L23" s="2">
        <v>0</v>
      </c>
      <c r="M23" s="2">
        <v>0</v>
      </c>
      <c r="N23" s="2">
        <v>1</v>
      </c>
      <c r="O23" s="2" t="str">
        <f t="shared" si="0"/>
        <v>Alone</v>
      </c>
      <c r="P23" s="2">
        <v>248698</v>
      </c>
      <c r="Q23" s="2">
        <v>13</v>
      </c>
      <c r="R23" s="7" t="str">
        <f>IF(Table1[[#This Row],[Fare]]&lt;20,"Low Fare",
IF(Table1[[#This Row],[Fare]]&lt;50,"Medium Fare","High Fare"))</f>
        <v>Low Fare</v>
      </c>
      <c r="S23" s="7" t="s">
        <v>15</v>
      </c>
    </row>
    <row r="24" spans="1:19" ht="12.95" customHeight="1" x14ac:dyDescent="0.25">
      <c r="A24" s="6">
        <v>23</v>
      </c>
      <c r="B24" s="2">
        <v>1</v>
      </c>
      <c r="C24" s="2" t="str">
        <f>IF(Table1[[#This Row],[Survived]]=1,"Survived","Not Survived")</f>
        <v>Survived</v>
      </c>
      <c r="D24" s="2">
        <v>3</v>
      </c>
      <c r="E24" s="1" t="s">
        <v>21</v>
      </c>
      <c r="F24" s="1" t="s">
        <v>52</v>
      </c>
      <c r="G24" s="1" t="s">
        <v>89</v>
      </c>
      <c r="H24" s="1" t="s">
        <v>53</v>
      </c>
      <c r="I24" s="1" t="s">
        <v>19</v>
      </c>
      <c r="J24" s="2">
        <v>15</v>
      </c>
      <c r="K24" s="2" t="str">
        <f>IF(Table1[[#This Row],[Age]]="","Unknown",
IF(Table1[[#This Row],[Age]]&lt;13,"Child",
IF(Table1[[#This Row],[Age]]&lt;20,"Teen",
IF(Table1[[#This Row],[Age]]&lt;40,"Adult","Senior"))))</f>
        <v>Teen</v>
      </c>
      <c r="L24" s="2">
        <v>0</v>
      </c>
      <c r="M24" s="2">
        <v>0</v>
      </c>
      <c r="N24" s="2">
        <v>1</v>
      </c>
      <c r="O24" s="2" t="str">
        <f t="shared" si="0"/>
        <v>Alone</v>
      </c>
      <c r="P24" s="2">
        <v>330923</v>
      </c>
      <c r="Q24" s="2">
        <v>8.0299999999999994</v>
      </c>
      <c r="R24" s="7" t="str">
        <f>IF(Table1[[#This Row],[Fare]]&lt;20,"Low Fare",
IF(Table1[[#This Row],[Fare]]&lt;50,"Medium Fare","High Fare"))</f>
        <v>Low Fare</v>
      </c>
      <c r="S24" s="7" t="s">
        <v>31</v>
      </c>
    </row>
    <row r="25" spans="1:19" ht="12.95" customHeight="1" x14ac:dyDescent="0.25">
      <c r="A25" s="6">
        <v>24</v>
      </c>
      <c r="B25" s="2">
        <v>1</v>
      </c>
      <c r="C25" s="2" t="str">
        <f>IF(Table1[[#This Row],[Survived]]=1,"Survived","Not Survived")</f>
        <v>Survived</v>
      </c>
      <c r="D25" s="2">
        <v>1</v>
      </c>
      <c r="E25" s="1" t="s">
        <v>10</v>
      </c>
      <c r="F25" s="1" t="s">
        <v>26</v>
      </c>
      <c r="G25" s="1" t="s">
        <v>67</v>
      </c>
      <c r="H25" s="1" t="s">
        <v>68</v>
      </c>
      <c r="I25" s="1" t="s">
        <v>14</v>
      </c>
      <c r="J25" s="2">
        <v>28</v>
      </c>
      <c r="K25" s="2" t="str">
        <f>IF(Table1[[#This Row],[Age]]="","Unknown",
IF(Table1[[#This Row],[Age]]&lt;13,"Child",
IF(Table1[[#This Row],[Age]]&lt;20,"Teen",
IF(Table1[[#This Row],[Age]]&lt;40,"Adult","Senior"))))</f>
        <v>Adult</v>
      </c>
      <c r="L25" s="2">
        <v>0</v>
      </c>
      <c r="M25" s="2">
        <v>0</v>
      </c>
      <c r="N25" s="2">
        <v>1</v>
      </c>
      <c r="O25" s="2" t="str">
        <f t="shared" si="0"/>
        <v>Alone</v>
      </c>
      <c r="P25" s="2">
        <v>113788</v>
      </c>
      <c r="Q25" s="2">
        <v>35.5</v>
      </c>
      <c r="R25" s="7" t="str">
        <f>IF(Table1[[#This Row],[Fare]]&lt;20,"Low Fare",
IF(Table1[[#This Row],[Fare]]&lt;50,"Medium Fare","High Fare"))</f>
        <v>Medium Fare</v>
      </c>
      <c r="S25" s="7" t="s">
        <v>15</v>
      </c>
    </row>
    <row r="26" spans="1:19" ht="12.95" customHeight="1" x14ac:dyDescent="0.25">
      <c r="A26" s="6">
        <v>25</v>
      </c>
      <c r="B26" s="2">
        <v>0</v>
      </c>
      <c r="C26" s="2" t="str">
        <f>IF(Table1[[#This Row],[Survived]]=1,"Survived","Not Survived")</f>
        <v>Not Survived</v>
      </c>
      <c r="D26" s="2">
        <v>3</v>
      </c>
      <c r="E26" s="1" t="s">
        <v>21</v>
      </c>
      <c r="F26" s="1" t="s">
        <v>69</v>
      </c>
      <c r="G26" s="1" t="s">
        <v>70</v>
      </c>
      <c r="H26" s="1" t="s">
        <v>38</v>
      </c>
      <c r="I26" s="1" t="s">
        <v>19</v>
      </c>
      <c r="J26" s="2">
        <v>8</v>
      </c>
      <c r="K26" s="2" t="str">
        <f>IF(Table1[[#This Row],[Age]]="","Unknown",
IF(Table1[[#This Row],[Age]]&lt;13,"Child",
IF(Table1[[#This Row],[Age]]&lt;20,"Teen",
IF(Table1[[#This Row],[Age]]&lt;40,"Adult","Senior"))))</f>
        <v>Child</v>
      </c>
      <c r="L26" s="2">
        <v>3</v>
      </c>
      <c r="M26" s="2">
        <v>1</v>
      </c>
      <c r="N26" s="2">
        <v>5</v>
      </c>
      <c r="O26" s="2" t="str">
        <f t="shared" si="0"/>
        <v>With Family</v>
      </c>
      <c r="P26" s="2">
        <v>349909</v>
      </c>
      <c r="Q26" s="2">
        <v>21.08</v>
      </c>
      <c r="R26" s="7" t="str">
        <f>IF(Table1[[#This Row],[Fare]]&lt;20,"Low Fare",
IF(Table1[[#This Row],[Fare]]&lt;50,"Medium Fare","High Fare"))</f>
        <v>Medium Fare</v>
      </c>
      <c r="S26" s="7" t="s">
        <v>15</v>
      </c>
    </row>
    <row r="27" spans="1:19" ht="12.95" customHeight="1" x14ac:dyDescent="0.25">
      <c r="A27" s="6">
        <v>26</v>
      </c>
      <c r="B27" s="2">
        <v>1</v>
      </c>
      <c r="C27" s="2" t="str">
        <f>IF(Table1[[#This Row],[Survived]]=1,"Survived","Not Survived")</f>
        <v>Survived</v>
      </c>
      <c r="D27" s="2">
        <v>3</v>
      </c>
      <c r="E27" s="1" t="s">
        <v>16</v>
      </c>
      <c r="F27" s="1" t="s">
        <v>71</v>
      </c>
      <c r="G27" s="1" t="s">
        <v>99</v>
      </c>
      <c r="H27" s="1" t="s">
        <v>72</v>
      </c>
      <c r="I27" s="1" t="s">
        <v>19</v>
      </c>
      <c r="J27" s="2">
        <v>38</v>
      </c>
      <c r="K27" s="2" t="str">
        <f>IF(Table1[[#This Row],[Age]]="","Unknown",
IF(Table1[[#This Row],[Age]]&lt;13,"Child",
IF(Table1[[#This Row],[Age]]&lt;20,"Teen",
IF(Table1[[#This Row],[Age]]&lt;40,"Adult","Senior"))))</f>
        <v>Adult</v>
      </c>
      <c r="L27" s="2">
        <v>1</v>
      </c>
      <c r="M27" s="2">
        <v>5</v>
      </c>
      <c r="N27" s="2">
        <v>7</v>
      </c>
      <c r="O27" s="2" t="str">
        <f t="shared" si="0"/>
        <v>With Family</v>
      </c>
      <c r="P27" s="2">
        <v>347077</v>
      </c>
      <c r="Q27" s="2">
        <v>31.39</v>
      </c>
      <c r="R27" s="7" t="str">
        <f>IF(Table1[[#This Row],[Fare]]&lt;20,"Low Fare",
IF(Table1[[#This Row],[Fare]]&lt;50,"Medium Fare","High Fare"))</f>
        <v>Medium Fare</v>
      </c>
      <c r="S27" s="7" t="s">
        <v>15</v>
      </c>
    </row>
    <row r="28" spans="1:19" ht="12.95" customHeight="1" x14ac:dyDescent="0.25">
      <c r="A28" s="6">
        <v>27</v>
      </c>
      <c r="B28" s="2">
        <v>0</v>
      </c>
      <c r="C28" s="2" t="str">
        <f>IF(Table1[[#This Row],[Survived]]=1,"Survived","Not Survived")</f>
        <v>Not Survived</v>
      </c>
      <c r="D28" s="2">
        <v>3</v>
      </c>
      <c r="E28" s="1" t="s">
        <v>10</v>
      </c>
      <c r="F28" s="1" t="s">
        <v>73</v>
      </c>
      <c r="G28" s="1" t="s">
        <v>74</v>
      </c>
      <c r="H28" s="1" t="s">
        <v>75</v>
      </c>
      <c r="I28" s="1" t="s">
        <v>14</v>
      </c>
      <c r="J28" s="2">
        <v>28</v>
      </c>
      <c r="K28" s="2" t="str">
        <f>IF(Table1[[#This Row],[Age]]="","Unknown",
IF(Table1[[#This Row],[Age]]&lt;13,"Child",
IF(Table1[[#This Row],[Age]]&lt;20,"Teen",
IF(Table1[[#This Row],[Age]]&lt;40,"Adult","Senior"))))</f>
        <v>Adult</v>
      </c>
      <c r="L28" s="2">
        <v>0</v>
      </c>
      <c r="M28" s="2">
        <v>0</v>
      </c>
      <c r="N28" s="2">
        <v>1</v>
      </c>
      <c r="O28" s="2" t="str">
        <f t="shared" si="0"/>
        <v>Alone</v>
      </c>
      <c r="P28" s="2">
        <v>2631</v>
      </c>
      <c r="Q28" s="2">
        <v>7.22</v>
      </c>
      <c r="R28" s="7" t="str">
        <f>IF(Table1[[#This Row],[Fare]]&lt;20,"Low Fare",
IF(Table1[[#This Row],[Fare]]&lt;50,"Medium Fare","High Fare"))</f>
        <v>Low Fare</v>
      </c>
      <c r="S28" s="7" t="s">
        <v>20</v>
      </c>
    </row>
    <row r="29" spans="1:19" ht="12.95" customHeight="1" x14ac:dyDescent="0.25">
      <c r="A29" s="6">
        <v>28</v>
      </c>
      <c r="B29" s="2">
        <v>0</v>
      </c>
      <c r="C29" s="2" t="str">
        <f>IF(Table1[[#This Row],[Survived]]=1,"Survived","Not Survived")</f>
        <v>Not Survived</v>
      </c>
      <c r="D29" s="2">
        <v>1</v>
      </c>
      <c r="E29" s="1" t="s">
        <v>10</v>
      </c>
      <c r="F29" s="1" t="s">
        <v>57</v>
      </c>
      <c r="G29" s="1" t="s">
        <v>76</v>
      </c>
      <c r="H29" s="1" t="s">
        <v>77</v>
      </c>
      <c r="I29" s="1" t="s">
        <v>14</v>
      </c>
      <c r="J29" s="2">
        <v>19</v>
      </c>
      <c r="K29" s="2" t="str">
        <f>IF(Table1[[#This Row],[Age]]="","Unknown",
IF(Table1[[#This Row],[Age]]&lt;13,"Child",
IF(Table1[[#This Row],[Age]]&lt;20,"Teen",
IF(Table1[[#This Row],[Age]]&lt;40,"Adult","Senior"))))</f>
        <v>Teen</v>
      </c>
      <c r="L29" s="2">
        <v>3</v>
      </c>
      <c r="M29" s="2">
        <v>2</v>
      </c>
      <c r="N29" s="2">
        <v>6</v>
      </c>
      <c r="O29" s="2" t="str">
        <f t="shared" si="0"/>
        <v>With Family</v>
      </c>
      <c r="P29" s="2">
        <v>19950</v>
      </c>
      <c r="Q29" s="2">
        <v>263</v>
      </c>
      <c r="R29" s="7" t="str">
        <f>IF(Table1[[#This Row],[Fare]]&lt;20,"Low Fare",
IF(Table1[[#This Row],[Fare]]&lt;50,"Medium Fare","High Fare"))</f>
        <v>High Fare</v>
      </c>
      <c r="S29" s="7" t="s">
        <v>15</v>
      </c>
    </row>
    <row r="30" spans="1:19" ht="12.95" customHeight="1" x14ac:dyDescent="0.25">
      <c r="A30" s="6">
        <v>29</v>
      </c>
      <c r="B30" s="2">
        <v>1</v>
      </c>
      <c r="C30" s="2" t="str">
        <f>IF(Table1[[#This Row],[Survived]]=1,"Survived","Not Survived")</f>
        <v>Survived</v>
      </c>
      <c r="D30" s="2">
        <v>3</v>
      </c>
      <c r="E30" s="1" t="s">
        <v>21</v>
      </c>
      <c r="F30" s="1" t="s">
        <v>78</v>
      </c>
      <c r="G30" s="1" t="s">
        <v>100</v>
      </c>
      <c r="H30" s="1" t="s">
        <v>79</v>
      </c>
      <c r="I30" s="1" t="s">
        <v>19</v>
      </c>
      <c r="J30" s="2">
        <v>28</v>
      </c>
      <c r="K30" s="2" t="str">
        <f>IF(Table1[[#This Row],[Age]]="","Unknown",
IF(Table1[[#This Row],[Age]]&lt;13,"Child",
IF(Table1[[#This Row],[Age]]&lt;20,"Teen",
IF(Table1[[#This Row],[Age]]&lt;40,"Adult","Senior"))))</f>
        <v>Adult</v>
      </c>
      <c r="L30" s="2">
        <v>0</v>
      </c>
      <c r="M30" s="2">
        <v>0</v>
      </c>
      <c r="N30" s="2">
        <v>1</v>
      </c>
      <c r="O30" s="2" t="str">
        <f t="shared" si="0"/>
        <v>Alone</v>
      </c>
      <c r="P30" s="2">
        <v>330959</v>
      </c>
      <c r="Q30" s="2">
        <v>7.88</v>
      </c>
      <c r="R30" s="7" t="str">
        <f>IF(Table1[[#This Row],[Fare]]&lt;20,"Low Fare",
IF(Table1[[#This Row],[Fare]]&lt;50,"Medium Fare","High Fare"))</f>
        <v>Low Fare</v>
      </c>
      <c r="S30" s="7" t="s">
        <v>31</v>
      </c>
    </row>
    <row r="31" spans="1:19" ht="12.95" customHeight="1" x14ac:dyDescent="0.25">
      <c r="A31" s="6">
        <v>30</v>
      </c>
      <c r="B31" s="2">
        <v>0</v>
      </c>
      <c r="C31" s="2" t="str">
        <f>IF(Table1[[#This Row],[Survived]]=1,"Survived","Not Survived")</f>
        <v>Not Survived</v>
      </c>
      <c r="D31" s="2">
        <v>3</v>
      </c>
      <c r="E31" s="1" t="s">
        <v>10</v>
      </c>
      <c r="F31" s="1" t="s">
        <v>80</v>
      </c>
      <c r="G31" s="1"/>
      <c r="H31" s="1" t="s">
        <v>81</v>
      </c>
      <c r="I31" s="1" t="s">
        <v>14</v>
      </c>
      <c r="J31" s="2">
        <v>28</v>
      </c>
      <c r="K31" s="2" t="str">
        <f>IF(Table1[[#This Row],[Age]]="","Unknown",
IF(Table1[[#This Row],[Age]]&lt;13,"Child",
IF(Table1[[#This Row],[Age]]&lt;20,"Teen",
IF(Table1[[#This Row],[Age]]&lt;40,"Adult","Senior"))))</f>
        <v>Adult</v>
      </c>
      <c r="L31" s="2">
        <v>0</v>
      </c>
      <c r="M31" s="2">
        <v>0</v>
      </c>
      <c r="N31" s="2">
        <v>1</v>
      </c>
      <c r="O31" s="2" t="str">
        <f t="shared" si="0"/>
        <v>Alone</v>
      </c>
      <c r="P31" s="2">
        <v>349216</v>
      </c>
      <c r="Q31" s="2">
        <v>7.9</v>
      </c>
      <c r="R31" s="7" t="str">
        <f>IF(Table1[[#This Row],[Fare]]&lt;20,"Low Fare",
IF(Table1[[#This Row],[Fare]]&lt;50,"Medium Fare","High Fare"))</f>
        <v>Low Fare</v>
      </c>
      <c r="S31" s="7" t="s">
        <v>15</v>
      </c>
    </row>
    <row r="32" spans="1:19" ht="12.95" customHeight="1" x14ac:dyDescent="0.25">
      <c r="A32" s="6">
        <v>31</v>
      </c>
      <c r="B32" s="2">
        <v>0</v>
      </c>
      <c r="C32" s="2" t="str">
        <f>IF(Table1[[#This Row],[Survived]]=1,"Survived","Not Survived")</f>
        <v>Not Survived</v>
      </c>
      <c r="D32" s="2">
        <v>1</v>
      </c>
      <c r="E32" s="1" t="s">
        <v>82</v>
      </c>
      <c r="F32" s="1" t="s">
        <v>83</v>
      </c>
      <c r="G32" s="1" t="s">
        <v>84</v>
      </c>
      <c r="H32" s="1" t="s">
        <v>85</v>
      </c>
      <c r="I32" s="1" t="s">
        <v>14</v>
      </c>
      <c r="J32" s="2">
        <v>40</v>
      </c>
      <c r="K32" s="2" t="str">
        <f>IF(Table1[[#This Row],[Age]]="","Unknown",
IF(Table1[[#This Row],[Age]]&lt;13,"Child",
IF(Table1[[#This Row],[Age]]&lt;20,"Teen",
IF(Table1[[#This Row],[Age]]&lt;40,"Adult","Senior"))))</f>
        <v>Senior</v>
      </c>
      <c r="L32" s="2">
        <v>0</v>
      </c>
      <c r="M32" s="2">
        <v>0</v>
      </c>
      <c r="N32" s="2">
        <v>1</v>
      </c>
      <c r="O32" s="2" t="str">
        <f t="shared" si="0"/>
        <v>Alone</v>
      </c>
      <c r="P32" s="2">
        <v>17601</v>
      </c>
      <c r="Q32" s="2">
        <v>27.72</v>
      </c>
      <c r="R32" s="7" t="str">
        <f>IF(Table1[[#This Row],[Fare]]&lt;20,"Low Fare",
IF(Table1[[#This Row],[Fare]]&lt;50,"Medium Fare","High Fare"))</f>
        <v>Medium Fare</v>
      </c>
      <c r="S32" s="7" t="s">
        <v>20</v>
      </c>
    </row>
    <row r="33" spans="1:19" ht="12.95" customHeight="1" x14ac:dyDescent="0.25">
      <c r="A33" s="11">
        <v>32</v>
      </c>
      <c r="B33" s="12">
        <v>1</v>
      </c>
      <c r="C33" s="12" t="str">
        <f>IF(Table1[[#This Row],[Survived]]=1,"Survived","Not Survived")</f>
        <v>Survived</v>
      </c>
      <c r="D33" s="12">
        <v>1</v>
      </c>
      <c r="E33" s="13" t="s">
        <v>16</v>
      </c>
      <c r="F33" s="13" t="s">
        <v>26</v>
      </c>
      <c r="G33" s="13" t="s">
        <v>101</v>
      </c>
      <c r="H33" s="13" t="s">
        <v>86</v>
      </c>
      <c r="I33" s="13" t="s">
        <v>19</v>
      </c>
      <c r="J33" s="12">
        <v>28</v>
      </c>
      <c r="K33" s="12" t="str">
        <f>IF(Table1[[#This Row],[Age]]="","Unknown",
IF(Table1[[#This Row],[Age]]&lt;13,"Child",
IF(Table1[[#This Row],[Age]]&lt;20,"Teen",
IF(Table1[[#This Row],[Age]]&lt;40,"Adult","Senior"))))</f>
        <v>Adult</v>
      </c>
      <c r="L33" s="12">
        <v>1</v>
      </c>
      <c r="M33" s="12">
        <v>0</v>
      </c>
      <c r="N33" s="12">
        <v>2</v>
      </c>
      <c r="O33" s="2" t="str">
        <f t="shared" si="0"/>
        <v>With Family</v>
      </c>
      <c r="P33" s="12">
        <v>17569</v>
      </c>
      <c r="Q33" s="12">
        <v>146.52000000000001</v>
      </c>
      <c r="R33" s="14" t="str">
        <f>IF(Table1[[#This Row],[Fare]]&lt;20,"Low Fare",
IF(Table1[[#This Row],[Fare]]&lt;50,"Medium Fare","High Fare"))</f>
        <v>High Fare</v>
      </c>
      <c r="S33" s="14" t="s">
        <v>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834A7-E00A-4D61-AFC0-EB9BB9593FCB}">
  <sheetPr codeName="Sheet3"/>
  <dimension ref="A1:D57"/>
  <sheetViews>
    <sheetView topLeftCell="A25" workbookViewId="0">
      <selection activeCell="A40" sqref="A40:B40"/>
      <pivotSelection pane="bottomRight" showHeader="1" extendable="1" start="1" max="3" activeRow="40" click="1" r:id="rId2">
        <pivotArea dataOnly="0" fieldPosition="0">
          <references count="1">
            <reference field="14" count="1">
              <x v="4"/>
            </reference>
          </references>
        </pivotArea>
      </pivotSelection>
    </sheetView>
  </sheetViews>
  <sheetFormatPr defaultRowHeight="15" x14ac:dyDescent="0.25"/>
  <cols>
    <col min="1" max="1" width="13.140625" bestFit="1" customWidth="1"/>
    <col min="2" max="2" width="20.42578125" bestFit="1" customWidth="1"/>
    <col min="3" max="3" width="17.140625" customWidth="1"/>
    <col min="4" max="4" width="11.28515625" bestFit="1" customWidth="1"/>
  </cols>
  <sheetData>
    <row r="1" spans="1:4" x14ac:dyDescent="0.25">
      <c r="A1" s="15" t="s">
        <v>104</v>
      </c>
      <c r="B1" t="s">
        <v>109</v>
      </c>
    </row>
    <row r="2" spans="1:4" x14ac:dyDescent="0.25">
      <c r="A2" s="16" t="s">
        <v>0</v>
      </c>
      <c r="B2" s="17">
        <v>17</v>
      </c>
    </row>
    <row r="3" spans="1:4" x14ac:dyDescent="0.25">
      <c r="A3" s="16" t="s">
        <v>123</v>
      </c>
      <c r="B3" s="17">
        <v>15</v>
      </c>
    </row>
    <row r="4" spans="1:4" x14ac:dyDescent="0.25">
      <c r="A4" s="16" t="s">
        <v>105</v>
      </c>
      <c r="B4" s="17">
        <v>32</v>
      </c>
    </row>
    <row r="12" spans="1:4" x14ac:dyDescent="0.25">
      <c r="A12" s="15" t="s">
        <v>106</v>
      </c>
      <c r="B12" s="15" t="s">
        <v>108</v>
      </c>
    </row>
    <row r="13" spans="1:4" x14ac:dyDescent="0.25">
      <c r="A13" s="15" t="s">
        <v>104</v>
      </c>
      <c r="B13" t="s">
        <v>123</v>
      </c>
      <c r="C13" t="s">
        <v>0</v>
      </c>
      <c r="D13" t="s">
        <v>105</v>
      </c>
    </row>
    <row r="14" spans="1:4" x14ac:dyDescent="0.25">
      <c r="A14" s="16" t="s">
        <v>19</v>
      </c>
      <c r="B14" s="17">
        <v>2</v>
      </c>
      <c r="C14" s="17">
        <v>14</v>
      </c>
      <c r="D14" s="17">
        <v>16</v>
      </c>
    </row>
    <row r="15" spans="1:4" x14ac:dyDescent="0.25">
      <c r="A15" s="16" t="s">
        <v>14</v>
      </c>
      <c r="B15" s="17">
        <v>13</v>
      </c>
      <c r="C15" s="17">
        <v>3</v>
      </c>
      <c r="D15" s="17">
        <v>16</v>
      </c>
    </row>
    <row r="16" spans="1:4" x14ac:dyDescent="0.25">
      <c r="A16" s="16" t="s">
        <v>105</v>
      </c>
      <c r="B16" s="17">
        <v>15</v>
      </c>
      <c r="C16" s="17">
        <v>17</v>
      </c>
      <c r="D16" s="17">
        <v>32</v>
      </c>
    </row>
    <row r="19" spans="1:4" x14ac:dyDescent="0.25">
      <c r="A19" s="15" t="s">
        <v>106</v>
      </c>
      <c r="B19" s="15" t="s">
        <v>108</v>
      </c>
    </row>
    <row r="20" spans="1:4" x14ac:dyDescent="0.25">
      <c r="A20" s="15" t="s">
        <v>104</v>
      </c>
      <c r="B20" t="s">
        <v>123</v>
      </c>
      <c r="C20" t="s">
        <v>0</v>
      </c>
      <c r="D20" t="s">
        <v>105</v>
      </c>
    </row>
    <row r="21" spans="1:4" x14ac:dyDescent="0.25">
      <c r="A21" s="16">
        <v>1</v>
      </c>
      <c r="B21" s="17">
        <v>3</v>
      </c>
      <c r="C21" s="17">
        <v>5</v>
      </c>
      <c r="D21" s="17">
        <v>8</v>
      </c>
    </row>
    <row r="22" spans="1:4" x14ac:dyDescent="0.25">
      <c r="A22" s="16">
        <v>2</v>
      </c>
      <c r="B22" s="17">
        <v>1</v>
      </c>
      <c r="C22" s="17">
        <v>4</v>
      </c>
      <c r="D22" s="17">
        <v>5</v>
      </c>
    </row>
    <row r="23" spans="1:4" x14ac:dyDescent="0.25">
      <c r="A23" s="16">
        <v>3</v>
      </c>
      <c r="B23" s="17">
        <v>11</v>
      </c>
      <c r="C23" s="17">
        <v>8</v>
      </c>
      <c r="D23" s="17">
        <v>19</v>
      </c>
    </row>
    <row r="24" spans="1:4" x14ac:dyDescent="0.25">
      <c r="A24" s="16" t="s">
        <v>105</v>
      </c>
      <c r="B24" s="17">
        <v>15</v>
      </c>
      <c r="C24" s="17">
        <v>17</v>
      </c>
      <c r="D24" s="17">
        <v>32</v>
      </c>
    </row>
    <row r="26" spans="1:4" x14ac:dyDescent="0.25">
      <c r="A26" s="15" t="s">
        <v>104</v>
      </c>
      <c r="B26" t="s">
        <v>110</v>
      </c>
    </row>
    <row r="27" spans="1:4" x14ac:dyDescent="0.25">
      <c r="A27" s="16" t="s">
        <v>19</v>
      </c>
      <c r="B27" s="18">
        <v>0.875</v>
      </c>
    </row>
    <row r="28" spans="1:4" x14ac:dyDescent="0.25">
      <c r="A28" s="16" t="s">
        <v>14</v>
      </c>
      <c r="B28" s="18">
        <v>0.1875</v>
      </c>
    </row>
    <row r="29" spans="1:4" x14ac:dyDescent="0.25">
      <c r="A29" s="16" t="s">
        <v>105</v>
      </c>
      <c r="B29" s="18">
        <v>0.53125</v>
      </c>
    </row>
    <row r="31" spans="1:4" x14ac:dyDescent="0.25">
      <c r="A31" s="15" t="s">
        <v>106</v>
      </c>
      <c r="B31" s="15" t="s">
        <v>108</v>
      </c>
    </row>
    <row r="32" spans="1:4" x14ac:dyDescent="0.25">
      <c r="A32" s="15" t="s">
        <v>104</v>
      </c>
      <c r="B32" t="s">
        <v>0</v>
      </c>
      <c r="C32" t="s">
        <v>123</v>
      </c>
      <c r="D32" t="s">
        <v>105</v>
      </c>
    </row>
    <row r="33" spans="1:4" x14ac:dyDescent="0.25">
      <c r="A33" s="16" t="s">
        <v>112</v>
      </c>
      <c r="B33" s="17">
        <v>11</v>
      </c>
      <c r="C33" s="17">
        <v>9</v>
      </c>
      <c r="D33" s="17">
        <v>20</v>
      </c>
    </row>
    <row r="34" spans="1:4" x14ac:dyDescent="0.25">
      <c r="A34" s="16" t="s">
        <v>105</v>
      </c>
      <c r="B34" s="17">
        <v>11</v>
      </c>
      <c r="C34" s="17">
        <v>9</v>
      </c>
      <c r="D34" s="17">
        <v>20</v>
      </c>
    </row>
    <row r="39" spans="1:4" x14ac:dyDescent="0.25">
      <c r="A39" s="15" t="s">
        <v>104</v>
      </c>
      <c r="B39" t="s">
        <v>106</v>
      </c>
    </row>
    <row r="40" spans="1:4" x14ac:dyDescent="0.25">
      <c r="A40" s="16" t="s">
        <v>125</v>
      </c>
      <c r="B40" s="17">
        <v>18</v>
      </c>
    </row>
    <row r="41" spans="1:4" x14ac:dyDescent="0.25">
      <c r="A41" s="16" t="s">
        <v>124</v>
      </c>
      <c r="B41" s="17">
        <v>14</v>
      </c>
    </row>
    <row r="42" spans="1:4" x14ac:dyDescent="0.25">
      <c r="A42" s="16" t="s">
        <v>105</v>
      </c>
      <c r="B42" s="17">
        <v>32</v>
      </c>
    </row>
    <row r="44" spans="1:4" x14ac:dyDescent="0.25">
      <c r="A44" s="15" t="s">
        <v>104</v>
      </c>
      <c r="B44" t="s">
        <v>110</v>
      </c>
    </row>
    <row r="45" spans="1:4" x14ac:dyDescent="0.25">
      <c r="A45" s="16">
        <v>1</v>
      </c>
      <c r="B45" s="18">
        <v>0.55555555555555558</v>
      </c>
    </row>
    <row r="46" spans="1:4" x14ac:dyDescent="0.25">
      <c r="A46" s="16">
        <v>2</v>
      </c>
      <c r="B46" s="18">
        <v>0.66666666666666663</v>
      </c>
    </row>
    <row r="47" spans="1:4" x14ac:dyDescent="0.25">
      <c r="A47" s="16">
        <v>3</v>
      </c>
      <c r="B47" s="18">
        <v>1</v>
      </c>
    </row>
    <row r="48" spans="1:4" x14ac:dyDescent="0.25">
      <c r="A48" s="16">
        <v>5</v>
      </c>
      <c r="B48" s="18">
        <v>0</v>
      </c>
    </row>
    <row r="49" spans="1:2" x14ac:dyDescent="0.25">
      <c r="A49" s="16">
        <v>6</v>
      </c>
      <c r="B49" s="18">
        <v>0</v>
      </c>
    </row>
    <row r="50" spans="1:2" x14ac:dyDescent="0.25">
      <c r="A50" s="16">
        <v>7</v>
      </c>
      <c r="B50" s="18">
        <v>0.5</v>
      </c>
    </row>
    <row r="51" spans="1:2" x14ac:dyDescent="0.25">
      <c r="A51" s="16" t="s">
        <v>105</v>
      </c>
      <c r="B51" s="18">
        <v>0.53125</v>
      </c>
    </row>
    <row r="53" spans="1:2" x14ac:dyDescent="0.25">
      <c r="A53" s="15" t="s">
        <v>104</v>
      </c>
      <c r="B53" t="s">
        <v>110</v>
      </c>
    </row>
    <row r="54" spans="1:2" x14ac:dyDescent="0.25">
      <c r="A54" s="16" t="s">
        <v>114</v>
      </c>
      <c r="B54" s="18">
        <v>0.6</v>
      </c>
    </row>
    <row r="55" spans="1:2" x14ac:dyDescent="0.25">
      <c r="A55" s="16" t="s">
        <v>115</v>
      </c>
      <c r="B55" s="18">
        <v>0.58823529411764708</v>
      </c>
    </row>
    <row r="56" spans="1:2" x14ac:dyDescent="0.25">
      <c r="A56" s="16" t="s">
        <v>116</v>
      </c>
      <c r="B56" s="18">
        <v>0.4</v>
      </c>
    </row>
    <row r="57" spans="1:2" x14ac:dyDescent="0.25">
      <c r="A57" s="16" t="s">
        <v>105</v>
      </c>
      <c r="B57" s="18">
        <v>0.53125</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7C047-7BC1-48D0-A344-FADF77B0C254}">
  <sheetPr codeName="Sheet5"/>
  <dimension ref="A2:B30"/>
  <sheetViews>
    <sheetView workbookViewId="0"/>
  </sheetViews>
  <sheetFormatPr defaultRowHeight="15" x14ac:dyDescent="0.25"/>
  <cols>
    <col min="1" max="1" width="17.7109375" bestFit="1" customWidth="1"/>
    <col min="2" max="2" width="7.7109375" bestFit="1" customWidth="1"/>
  </cols>
  <sheetData>
    <row r="2" spans="1:2" x14ac:dyDescent="0.25">
      <c r="A2" s="15" t="s">
        <v>1</v>
      </c>
      <c r="B2" t="s">
        <v>122</v>
      </c>
    </row>
    <row r="3" spans="1:2" x14ac:dyDescent="0.25">
      <c r="A3" s="15" t="s">
        <v>9</v>
      </c>
      <c r="B3" t="s">
        <v>122</v>
      </c>
    </row>
    <row r="5" spans="1:2" x14ac:dyDescent="0.25">
      <c r="A5" t="s">
        <v>118</v>
      </c>
    </row>
    <row r="6" spans="1:2" x14ac:dyDescent="0.25">
      <c r="A6" s="17">
        <v>32</v>
      </c>
    </row>
    <row r="8" spans="1:2" x14ac:dyDescent="0.25">
      <c r="A8" s="15" t="s">
        <v>1</v>
      </c>
      <c r="B8" t="s">
        <v>122</v>
      </c>
    </row>
    <row r="9" spans="1:2" x14ac:dyDescent="0.25">
      <c r="A9" s="15" t="s">
        <v>9</v>
      </c>
      <c r="B9" t="s">
        <v>122</v>
      </c>
    </row>
    <row r="11" spans="1:2" x14ac:dyDescent="0.25">
      <c r="A11" t="s">
        <v>120</v>
      </c>
    </row>
    <row r="12" spans="1:2" x14ac:dyDescent="0.25">
      <c r="A12" s="18">
        <v>0.53125</v>
      </c>
    </row>
    <row r="16" spans="1:2" x14ac:dyDescent="0.25">
      <c r="A16" s="15" t="s">
        <v>3</v>
      </c>
      <c r="B16" t="s">
        <v>19</v>
      </c>
    </row>
    <row r="17" spans="1:2" x14ac:dyDescent="0.25">
      <c r="A17" s="15" t="s">
        <v>1</v>
      </c>
      <c r="B17" t="s">
        <v>122</v>
      </c>
    </row>
    <row r="18" spans="1:2" x14ac:dyDescent="0.25">
      <c r="A18" s="15" t="s">
        <v>9</v>
      </c>
      <c r="B18" t="s">
        <v>122</v>
      </c>
    </row>
    <row r="20" spans="1:2" x14ac:dyDescent="0.25">
      <c r="A20" t="s">
        <v>119</v>
      </c>
    </row>
    <row r="21" spans="1:2" x14ac:dyDescent="0.25">
      <c r="A21" s="18">
        <v>0.875</v>
      </c>
    </row>
    <row r="25" spans="1:2" x14ac:dyDescent="0.25">
      <c r="A25" s="15" t="s">
        <v>3</v>
      </c>
      <c r="B25" t="s">
        <v>14</v>
      </c>
    </row>
    <row r="26" spans="1:2" x14ac:dyDescent="0.25">
      <c r="A26" s="15" t="s">
        <v>1</v>
      </c>
      <c r="B26" t="s">
        <v>122</v>
      </c>
    </row>
    <row r="27" spans="1:2" x14ac:dyDescent="0.25">
      <c r="A27" s="15" t="s">
        <v>9</v>
      </c>
      <c r="B27" t="s">
        <v>122</v>
      </c>
    </row>
    <row r="29" spans="1:2" x14ac:dyDescent="0.25">
      <c r="A29" t="s">
        <v>121</v>
      </c>
    </row>
    <row r="30" spans="1:2" x14ac:dyDescent="0.25">
      <c r="A30" s="18">
        <v>0.1875</v>
      </c>
    </row>
  </sheetData>
  <pageMargins left="0.7" right="0.7" top="0.75" bottom="0.75" header="0.3" footer="0.3"/>
  <pageSetup paperSize="9"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Raw_Data</vt:lpstr>
      <vt:lpstr>Processed_Data</vt:lpstr>
      <vt:lpstr>Calculations</vt:lpstr>
      <vt:lpstr>KPI_Mapping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Spark</dc:creator>
  <cp:lastModifiedBy>Spark</cp:lastModifiedBy>
  <dcterms:created xsi:type="dcterms:W3CDTF">2025-11-04T06:23:08Z</dcterms:created>
  <dcterms:modified xsi:type="dcterms:W3CDTF">2026-02-04T16:11:13Z</dcterms:modified>
</cp:coreProperties>
</file>